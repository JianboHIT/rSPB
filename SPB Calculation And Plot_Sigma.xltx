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重构SPB\Supporting\"/>
    </mc:Choice>
  </mc:AlternateContent>
  <xr:revisionPtr revIDLastSave="0" documentId="13_ncr:11_{F9211DAF-7A5D-4027-8920-D7F809B38B9E}" xr6:coauthVersionLast="47" xr6:coauthVersionMax="47" xr10:uidLastSave="{00000000-0000-0000-0000-000000000000}"/>
  <bookViews>
    <workbookView xWindow="-110" yWindow="-110" windowWidth="19420" windowHeight="10420" xr2:uid="{6FAB8E39-BC0B-4881-828E-6420C9A70542}"/>
  </bookViews>
  <sheets>
    <sheet name="Welcome" sheetId="3" r:id="rId1"/>
    <sheet name="Calculation" sheetId="1" r:id="rId2"/>
    <sheet name="Lorentz number" sheetId="5" r:id="rId3"/>
    <sheet name="Plot" sheetId="2" r:id="rId4"/>
    <sheet name="Formula List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G3" i="5"/>
  <c r="H3" i="5" s="1"/>
  <c r="G4" i="5"/>
  <c r="H4" i="5" s="1"/>
  <c r="G5" i="5"/>
  <c r="H5" i="5"/>
  <c r="G6" i="5"/>
  <c r="H6" i="5"/>
  <c r="G7" i="5"/>
  <c r="H7" i="5" s="1"/>
  <c r="G8" i="5"/>
  <c r="H8" i="5" s="1"/>
  <c r="G9" i="5"/>
  <c r="H9" i="5"/>
  <c r="G10" i="5"/>
  <c r="H10" i="5"/>
  <c r="G11" i="5"/>
  <c r="H11" i="5" s="1"/>
  <c r="G12" i="5"/>
  <c r="H12" i="5" s="1"/>
  <c r="G13" i="5"/>
  <c r="H13" i="5"/>
  <c r="G14" i="5"/>
  <c r="H14" i="5"/>
  <c r="G15" i="5"/>
  <c r="H15" i="5" s="1"/>
  <c r="G16" i="5"/>
  <c r="H16" i="5" s="1"/>
  <c r="G17" i="5"/>
  <c r="H17" i="5"/>
  <c r="G18" i="5"/>
  <c r="H18" i="5"/>
  <c r="G19" i="5"/>
  <c r="H19" i="5" s="1"/>
  <c r="G20" i="5"/>
  <c r="H20" i="5" s="1"/>
  <c r="G21" i="5"/>
  <c r="H21" i="5"/>
  <c r="G22" i="5"/>
  <c r="H22" i="5"/>
  <c r="G23" i="5"/>
  <c r="H23" i="5" s="1"/>
  <c r="G24" i="5"/>
  <c r="H24" i="5" s="1"/>
  <c r="G25" i="5"/>
  <c r="H25" i="5"/>
  <c r="G26" i="5"/>
  <c r="H26" i="5"/>
  <c r="G27" i="5"/>
  <c r="H27" i="5" s="1"/>
  <c r="G28" i="5"/>
  <c r="H28" i="5" s="1"/>
  <c r="G29" i="5"/>
  <c r="H29" i="5"/>
  <c r="G30" i="5"/>
  <c r="H30" i="5"/>
  <c r="G31" i="5"/>
  <c r="H31" i="5" s="1"/>
  <c r="G32" i="5"/>
  <c r="H32" i="5" s="1"/>
  <c r="G33" i="5"/>
  <c r="H33" i="5"/>
  <c r="G34" i="5"/>
  <c r="H34" i="5"/>
  <c r="G35" i="5"/>
  <c r="H35" i="5" s="1"/>
  <c r="G36" i="5"/>
  <c r="H36" i="5" s="1"/>
  <c r="G37" i="5"/>
  <c r="H37" i="5"/>
  <c r="G38" i="5"/>
  <c r="H38" i="5"/>
  <c r="G39" i="5"/>
  <c r="H39" i="5" s="1"/>
  <c r="G40" i="5"/>
  <c r="H40" i="5" s="1"/>
  <c r="G41" i="5"/>
  <c r="H41" i="5"/>
  <c r="G42" i="5"/>
  <c r="H42" i="5"/>
  <c r="G43" i="5"/>
  <c r="H43" i="5" s="1"/>
  <c r="G44" i="5"/>
  <c r="H44" i="5" s="1"/>
  <c r="G45" i="5"/>
  <c r="H45" i="5"/>
  <c r="G46" i="5"/>
  <c r="H46" i="5"/>
  <c r="G47" i="5"/>
  <c r="H47" i="5" s="1"/>
  <c r="G48" i="5"/>
  <c r="H48" i="5" s="1"/>
  <c r="G49" i="5"/>
  <c r="H49" i="5"/>
  <c r="G50" i="5"/>
  <c r="H50" i="5"/>
  <c r="G51" i="5"/>
  <c r="H51" i="5" s="1"/>
  <c r="G52" i="5"/>
  <c r="H52" i="5" s="1"/>
  <c r="G53" i="5"/>
  <c r="H53" i="5"/>
  <c r="G54" i="5"/>
  <c r="H54" i="5"/>
  <c r="G55" i="5"/>
  <c r="H55" i="5" s="1"/>
  <c r="G56" i="5"/>
  <c r="H56" i="5" s="1"/>
  <c r="G57" i="5"/>
  <c r="H57" i="5"/>
  <c r="G58" i="5"/>
  <c r="H58" i="5"/>
  <c r="G59" i="5"/>
  <c r="H59" i="5" s="1"/>
  <c r="G60" i="5"/>
  <c r="H60" i="5" s="1"/>
  <c r="G61" i="5"/>
  <c r="H61" i="5"/>
  <c r="G62" i="5"/>
  <c r="H62" i="5"/>
  <c r="G63" i="5"/>
  <c r="H63" i="5" s="1"/>
  <c r="G64" i="5"/>
  <c r="H64" i="5" s="1"/>
  <c r="G65" i="5"/>
  <c r="H65" i="5"/>
  <c r="G66" i="5"/>
  <c r="H66" i="5"/>
  <c r="G67" i="5"/>
  <c r="H67" i="5" s="1"/>
  <c r="G68" i="5"/>
  <c r="H68" i="5" s="1"/>
  <c r="G69" i="5"/>
  <c r="H69" i="5"/>
  <c r="G70" i="5"/>
  <c r="H70" i="5"/>
  <c r="G71" i="5"/>
  <c r="H71" i="5" s="1"/>
  <c r="G72" i="5"/>
  <c r="H72" i="5" s="1"/>
  <c r="G73" i="5"/>
  <c r="H73" i="5"/>
  <c r="G74" i="5"/>
  <c r="H74" i="5"/>
  <c r="G75" i="5"/>
  <c r="H75" i="5" s="1"/>
  <c r="G76" i="5"/>
  <c r="H76" i="5" s="1"/>
  <c r="G77" i="5"/>
  <c r="H77" i="5"/>
  <c r="G78" i="5"/>
  <c r="H78" i="5"/>
  <c r="G79" i="5"/>
  <c r="H79" i="5" s="1"/>
  <c r="G80" i="5"/>
  <c r="H80" i="5" s="1"/>
  <c r="G81" i="5"/>
  <c r="H81" i="5"/>
  <c r="G82" i="5"/>
  <c r="H82" i="5"/>
  <c r="G83" i="5"/>
  <c r="H83" i="5" s="1"/>
  <c r="G84" i="5"/>
  <c r="H84" i="5" s="1"/>
  <c r="G85" i="5"/>
  <c r="H85" i="5"/>
  <c r="G86" i="5"/>
  <c r="H86" i="5"/>
  <c r="G87" i="5"/>
  <c r="H87" i="5" s="1"/>
  <c r="G88" i="5"/>
  <c r="H88" i="5" s="1"/>
  <c r="G89" i="5"/>
  <c r="H89" i="5"/>
  <c r="G90" i="5"/>
  <c r="H90" i="5"/>
  <c r="G91" i="5"/>
  <c r="H91" i="5" s="1"/>
  <c r="G92" i="5"/>
  <c r="H92" i="5" s="1"/>
  <c r="G93" i="5"/>
  <c r="H93" i="5"/>
  <c r="G94" i="5"/>
  <c r="H94" i="5"/>
  <c r="G95" i="5"/>
  <c r="H95" i="5" s="1"/>
  <c r="G96" i="5"/>
  <c r="H96" i="5" s="1"/>
  <c r="G97" i="5"/>
  <c r="H97" i="5"/>
  <c r="G98" i="5"/>
  <c r="H98" i="5"/>
  <c r="G99" i="5"/>
  <c r="H99" i="5" s="1"/>
  <c r="G100" i="5"/>
  <c r="H100" i="5" s="1"/>
  <c r="G101" i="5"/>
  <c r="H101" i="5"/>
  <c r="G102" i="5"/>
  <c r="H102" i="5"/>
  <c r="G103" i="5"/>
  <c r="H103" i="5" s="1"/>
  <c r="G104" i="5"/>
  <c r="H104" i="5" s="1"/>
  <c r="G105" i="5"/>
  <c r="H105" i="5"/>
  <c r="G106" i="5"/>
  <c r="H106" i="5"/>
  <c r="G107" i="5"/>
  <c r="H107" i="5" s="1"/>
  <c r="G108" i="5"/>
  <c r="H108" i="5" s="1"/>
  <c r="G109" i="5"/>
  <c r="H109" i="5"/>
  <c r="G110" i="5"/>
  <c r="H110" i="5"/>
  <c r="G111" i="5"/>
  <c r="H111" i="5" s="1"/>
  <c r="G112" i="5"/>
  <c r="H112" i="5" s="1"/>
  <c r="G113" i="5"/>
  <c r="H113" i="5"/>
  <c r="G114" i="5"/>
  <c r="H114" i="5"/>
  <c r="G115" i="5"/>
  <c r="H115" i="5" s="1"/>
  <c r="G116" i="5"/>
  <c r="H116" i="5" s="1"/>
  <c r="G117" i="5"/>
  <c r="H117" i="5"/>
  <c r="G118" i="5"/>
  <c r="H118" i="5"/>
  <c r="G119" i="5"/>
  <c r="H119" i="5" s="1"/>
  <c r="G120" i="5"/>
  <c r="H120" i="5" s="1"/>
  <c r="G121" i="5"/>
  <c r="H121" i="5"/>
  <c r="G122" i="5"/>
  <c r="H122" i="5"/>
  <c r="G123" i="5"/>
  <c r="H123" i="5" s="1"/>
  <c r="G124" i="5"/>
  <c r="H124" i="5" s="1"/>
  <c r="G125" i="5"/>
  <c r="H125" i="5"/>
  <c r="G126" i="5"/>
  <c r="H126" i="5"/>
  <c r="G127" i="5"/>
  <c r="H127" i="5" s="1"/>
  <c r="G128" i="5"/>
  <c r="H128" i="5" s="1"/>
  <c r="G129" i="5"/>
  <c r="H129" i="5"/>
  <c r="G130" i="5"/>
  <c r="H130" i="5"/>
  <c r="G131" i="5"/>
  <c r="H131" i="5" s="1"/>
  <c r="G132" i="5"/>
  <c r="H132" i="5" s="1"/>
  <c r="G133" i="5"/>
  <c r="H133" i="5"/>
  <c r="G134" i="5"/>
  <c r="H134" i="5"/>
  <c r="G135" i="5"/>
  <c r="H135" i="5" s="1"/>
  <c r="G136" i="5"/>
  <c r="H136" i="5" s="1"/>
  <c r="G137" i="5"/>
  <c r="H137" i="5"/>
  <c r="G138" i="5"/>
  <c r="H138" i="5"/>
  <c r="G139" i="5"/>
  <c r="H139" i="5" s="1"/>
  <c r="G140" i="5"/>
  <c r="H140" i="5" s="1"/>
  <c r="G141" i="5"/>
  <c r="H141" i="5"/>
  <c r="G142" i="5"/>
  <c r="H142" i="5"/>
  <c r="G143" i="5"/>
  <c r="H143" i="5" s="1"/>
  <c r="G144" i="5"/>
  <c r="H144" i="5" s="1"/>
  <c r="G145" i="5"/>
  <c r="H145" i="5"/>
  <c r="G146" i="5"/>
  <c r="H146" i="5"/>
  <c r="G147" i="5"/>
  <c r="H147" i="5" s="1"/>
  <c r="G148" i="5"/>
  <c r="H148" i="5" s="1"/>
  <c r="G149" i="5"/>
  <c r="H149" i="5"/>
  <c r="G150" i="5"/>
  <c r="H150" i="5"/>
  <c r="G151" i="5"/>
  <c r="H151" i="5" s="1"/>
  <c r="G152" i="5"/>
  <c r="H152" i="5" s="1"/>
  <c r="G153" i="5"/>
  <c r="H153" i="5"/>
  <c r="G154" i="5"/>
  <c r="H154" i="5"/>
  <c r="G155" i="5"/>
  <c r="H155" i="5" s="1"/>
  <c r="G156" i="5"/>
  <c r="H156" i="5" s="1"/>
  <c r="G157" i="5"/>
  <c r="H157" i="5"/>
  <c r="G158" i="5"/>
  <c r="H158" i="5"/>
  <c r="G159" i="5"/>
  <c r="H159" i="5" s="1"/>
  <c r="G160" i="5"/>
  <c r="H160" i="5" s="1"/>
  <c r="G161" i="5"/>
  <c r="H161" i="5"/>
  <c r="G162" i="5"/>
  <c r="H162" i="5"/>
  <c r="G163" i="5"/>
  <c r="H163" i="5" s="1"/>
  <c r="G164" i="5"/>
  <c r="H164" i="5" s="1"/>
  <c r="G165" i="5"/>
  <c r="H165" i="5"/>
  <c r="G166" i="5"/>
  <c r="H166" i="5"/>
  <c r="G167" i="5"/>
  <c r="H167" i="5" s="1"/>
  <c r="G168" i="5"/>
  <c r="H168" i="5" s="1"/>
  <c r="G169" i="5"/>
  <c r="H169" i="5"/>
  <c r="G170" i="5"/>
  <c r="H170" i="5"/>
  <c r="G171" i="5"/>
  <c r="H171" i="5" s="1"/>
  <c r="G172" i="5"/>
  <c r="H172" i="5" s="1"/>
  <c r="G173" i="5"/>
  <c r="H173" i="5"/>
  <c r="G174" i="5"/>
  <c r="H174" i="5"/>
  <c r="G175" i="5"/>
  <c r="H175" i="5" s="1"/>
  <c r="G176" i="5"/>
  <c r="H176" i="5" s="1"/>
  <c r="G177" i="5"/>
  <c r="H177" i="5"/>
  <c r="G178" i="5"/>
  <c r="H178" i="5"/>
  <c r="G179" i="5"/>
  <c r="H179" i="5" s="1"/>
  <c r="G180" i="5"/>
  <c r="H180" i="5" s="1"/>
  <c r="G181" i="5"/>
  <c r="H181" i="5"/>
  <c r="G182" i="5"/>
  <c r="H182" i="5"/>
  <c r="G183" i="5"/>
  <c r="H183" i="5" s="1"/>
  <c r="G184" i="5"/>
  <c r="H184" i="5" s="1"/>
  <c r="G185" i="5"/>
  <c r="H185" i="5"/>
  <c r="G186" i="5"/>
  <c r="H186" i="5"/>
  <c r="G187" i="5"/>
  <c r="H187" i="5" s="1"/>
  <c r="G188" i="5"/>
  <c r="H188" i="5" s="1"/>
  <c r="G189" i="5"/>
  <c r="H189" i="5"/>
  <c r="G190" i="5"/>
  <c r="H190" i="5"/>
  <c r="G191" i="5"/>
  <c r="H191" i="5" s="1"/>
  <c r="G192" i="5"/>
  <c r="H192" i="5" s="1"/>
  <c r="G193" i="5"/>
  <c r="H193" i="5"/>
  <c r="G194" i="5"/>
  <c r="H194" i="5"/>
  <c r="G195" i="5"/>
  <c r="H195" i="5" s="1"/>
  <c r="G196" i="5"/>
  <c r="H196" i="5" s="1"/>
  <c r="G197" i="5"/>
  <c r="H197" i="5"/>
  <c r="G198" i="5"/>
  <c r="H198" i="5"/>
  <c r="G199" i="5"/>
  <c r="H199" i="5" s="1"/>
  <c r="G200" i="5"/>
  <c r="H200" i="5" s="1"/>
  <c r="G201" i="5"/>
  <c r="H201" i="5"/>
  <c r="G202" i="5"/>
  <c r="H202" i="5"/>
  <c r="G203" i="5"/>
  <c r="H203" i="5" s="1"/>
  <c r="G204" i="5"/>
  <c r="H204" i="5" s="1"/>
  <c r="G205" i="5"/>
  <c r="H205" i="5"/>
  <c r="G206" i="5"/>
  <c r="H206" i="5"/>
  <c r="G207" i="5"/>
  <c r="H207" i="5" s="1"/>
  <c r="G208" i="5"/>
  <c r="H208" i="5" s="1"/>
  <c r="G209" i="5"/>
  <c r="H209" i="5"/>
  <c r="G210" i="5"/>
  <c r="H210" i="5"/>
  <c r="G211" i="5"/>
  <c r="H211" i="5" s="1"/>
  <c r="G212" i="5"/>
  <c r="H212" i="5" s="1"/>
  <c r="G213" i="5"/>
  <c r="H213" i="5"/>
  <c r="G214" i="5"/>
  <c r="H214" i="5"/>
  <c r="G215" i="5"/>
  <c r="H215" i="5" s="1"/>
  <c r="G216" i="5"/>
  <c r="H216" i="5" s="1"/>
  <c r="G217" i="5"/>
  <c r="H217" i="5"/>
  <c r="G218" i="5"/>
  <c r="H218" i="5"/>
  <c r="G219" i="5"/>
  <c r="H219" i="5" s="1"/>
  <c r="G220" i="5"/>
  <c r="H220" i="5" s="1"/>
  <c r="G221" i="5"/>
  <c r="H221" i="5"/>
  <c r="G222" i="5"/>
  <c r="H222" i="5"/>
  <c r="G223" i="5"/>
  <c r="H223" i="5" s="1"/>
  <c r="G224" i="5"/>
  <c r="H224" i="5" s="1"/>
  <c r="G225" i="5"/>
  <c r="H225" i="5"/>
  <c r="G226" i="5"/>
  <c r="H226" i="5"/>
  <c r="G227" i="5"/>
  <c r="H227" i="5" s="1"/>
  <c r="G228" i="5"/>
  <c r="H228" i="5" s="1"/>
  <c r="G229" i="5"/>
  <c r="H229" i="5"/>
  <c r="G230" i="5"/>
  <c r="H230" i="5"/>
  <c r="G231" i="5"/>
  <c r="H231" i="5" s="1"/>
  <c r="G232" i="5"/>
  <c r="H232" i="5" s="1"/>
  <c r="G233" i="5"/>
  <c r="H233" i="5"/>
  <c r="G234" i="5"/>
  <c r="H234" i="5"/>
  <c r="G235" i="5"/>
  <c r="H235" i="5" s="1"/>
  <c r="G236" i="5"/>
  <c r="H236" i="5" s="1"/>
  <c r="G237" i="5"/>
  <c r="H237" i="5"/>
  <c r="G238" i="5"/>
  <c r="H238" i="5"/>
  <c r="G239" i="5"/>
  <c r="H239" i="5" s="1"/>
  <c r="G240" i="5"/>
  <c r="H240" i="5" s="1"/>
  <c r="G241" i="5"/>
  <c r="H241" i="5"/>
  <c r="G242" i="5"/>
  <c r="H242" i="5"/>
  <c r="G243" i="5"/>
  <c r="H243" i="5" s="1"/>
  <c r="G244" i="5"/>
  <c r="H244" i="5" s="1"/>
  <c r="G245" i="5"/>
  <c r="H245" i="5"/>
  <c r="G246" i="5"/>
  <c r="H246" i="5"/>
  <c r="G247" i="5"/>
  <c r="H247" i="5" s="1"/>
  <c r="G248" i="5"/>
  <c r="H248" i="5" s="1"/>
  <c r="G249" i="5"/>
  <c r="H249" i="5"/>
  <c r="G250" i="5"/>
  <c r="H250" i="5"/>
  <c r="G251" i="5"/>
  <c r="H251" i="5" s="1"/>
  <c r="G252" i="5"/>
  <c r="H252" i="5" s="1"/>
  <c r="G253" i="5"/>
  <c r="H253" i="5"/>
  <c r="G254" i="5"/>
  <c r="H254" i="5"/>
  <c r="G255" i="5"/>
  <c r="H255" i="5" s="1"/>
  <c r="G256" i="5"/>
  <c r="H256" i="5" s="1"/>
  <c r="G257" i="5"/>
  <c r="H257" i="5"/>
  <c r="G258" i="5"/>
  <c r="H258" i="5"/>
  <c r="G259" i="5"/>
  <c r="H259" i="5" s="1"/>
  <c r="G260" i="5"/>
  <c r="H260" i="5" s="1"/>
  <c r="G261" i="5"/>
  <c r="H261" i="5"/>
  <c r="G262" i="5"/>
  <c r="H262" i="5"/>
  <c r="G263" i="5"/>
  <c r="H263" i="5" s="1"/>
  <c r="G264" i="5"/>
  <c r="H264" i="5" s="1"/>
  <c r="G265" i="5"/>
  <c r="H265" i="5"/>
  <c r="G266" i="5"/>
  <c r="H266" i="5"/>
  <c r="G267" i="5"/>
  <c r="H267" i="5" s="1"/>
  <c r="G268" i="5"/>
  <c r="H268" i="5" s="1"/>
  <c r="G269" i="5"/>
  <c r="H269" i="5"/>
  <c r="G270" i="5"/>
  <c r="H270" i="5"/>
  <c r="G271" i="5"/>
  <c r="H271" i="5" s="1"/>
  <c r="G272" i="5"/>
  <c r="H272" i="5" s="1"/>
  <c r="G273" i="5"/>
  <c r="H273" i="5"/>
  <c r="G274" i="5"/>
  <c r="H274" i="5"/>
  <c r="G275" i="5"/>
  <c r="H275" i="5" s="1"/>
  <c r="G276" i="5"/>
  <c r="H276" i="5" s="1"/>
  <c r="G277" i="5"/>
  <c r="H277" i="5"/>
  <c r="G278" i="5"/>
  <c r="H278" i="5"/>
  <c r="G279" i="5"/>
  <c r="H279" i="5" s="1"/>
  <c r="G280" i="5"/>
  <c r="H280" i="5" s="1"/>
  <c r="G281" i="5"/>
  <c r="H281" i="5"/>
  <c r="G282" i="5"/>
  <c r="H282" i="5"/>
  <c r="G283" i="5"/>
  <c r="H283" i="5" s="1"/>
  <c r="G284" i="5"/>
  <c r="H284" i="5" s="1"/>
  <c r="G285" i="5"/>
  <c r="H285" i="5"/>
  <c r="G286" i="5"/>
  <c r="H286" i="5"/>
  <c r="G287" i="5"/>
  <c r="H287" i="5" s="1"/>
  <c r="G288" i="5"/>
  <c r="H288" i="5" s="1"/>
  <c r="G289" i="5"/>
  <c r="H289" i="5"/>
  <c r="G290" i="5"/>
  <c r="H290" i="5"/>
  <c r="G291" i="5"/>
  <c r="H291" i="5" s="1"/>
  <c r="G292" i="5"/>
  <c r="H292" i="5" s="1"/>
  <c r="G293" i="5"/>
  <c r="H293" i="5"/>
  <c r="G294" i="5"/>
  <c r="H294" i="5"/>
  <c r="G295" i="5"/>
  <c r="H295" i="5" s="1"/>
  <c r="G296" i="5"/>
  <c r="H296" i="5" s="1"/>
  <c r="G297" i="5"/>
  <c r="H297" i="5"/>
  <c r="G298" i="5"/>
  <c r="H298" i="5"/>
  <c r="G299" i="5"/>
  <c r="H299" i="5" s="1"/>
  <c r="G300" i="5"/>
  <c r="H300" i="5" s="1"/>
  <c r="G301" i="5"/>
  <c r="H301" i="5"/>
  <c r="G302" i="5"/>
  <c r="H302" i="5"/>
  <c r="G303" i="5"/>
  <c r="H303" i="5" s="1"/>
  <c r="G304" i="5"/>
  <c r="H304" i="5" s="1"/>
  <c r="G305" i="5"/>
  <c r="H305" i="5"/>
  <c r="G306" i="5"/>
  <c r="H306" i="5"/>
  <c r="G307" i="5"/>
  <c r="H307" i="5" s="1"/>
  <c r="G308" i="5"/>
  <c r="H308" i="5" s="1"/>
  <c r="G309" i="5"/>
  <c r="H309" i="5"/>
  <c r="G310" i="5"/>
  <c r="H310" i="5"/>
  <c r="G311" i="5"/>
  <c r="H311" i="5" s="1"/>
  <c r="G312" i="5"/>
  <c r="H312" i="5" s="1"/>
  <c r="G313" i="5"/>
  <c r="H313" i="5"/>
  <c r="G314" i="5"/>
  <c r="H314" i="5"/>
  <c r="G315" i="5"/>
  <c r="H315" i="5" s="1"/>
  <c r="G316" i="5"/>
  <c r="H316" i="5" s="1"/>
  <c r="G317" i="5"/>
  <c r="H317" i="5"/>
  <c r="G318" i="5"/>
  <c r="H318" i="5"/>
  <c r="G319" i="5"/>
  <c r="H319" i="5" s="1"/>
  <c r="G320" i="5"/>
  <c r="H320" i="5" s="1"/>
  <c r="G321" i="5"/>
  <c r="H321" i="5"/>
  <c r="G322" i="5"/>
  <c r="H322" i="5"/>
  <c r="G323" i="5"/>
  <c r="H323" i="5" s="1"/>
  <c r="G324" i="5"/>
  <c r="H324" i="5" s="1"/>
  <c r="G325" i="5"/>
  <c r="H325" i="5"/>
  <c r="G326" i="5"/>
  <c r="H326" i="5"/>
  <c r="G327" i="5"/>
  <c r="H327" i="5" s="1"/>
  <c r="G328" i="5"/>
  <c r="H328" i="5" s="1"/>
  <c r="G329" i="5"/>
  <c r="H329" i="5"/>
  <c r="G330" i="5"/>
  <c r="H330" i="5"/>
  <c r="G331" i="5"/>
  <c r="H331" i="5" s="1"/>
  <c r="G332" i="5"/>
  <c r="H332" i="5" s="1"/>
  <c r="G333" i="5"/>
  <c r="H333" i="5"/>
  <c r="G334" i="5"/>
  <c r="H334" i="5"/>
  <c r="G335" i="5"/>
  <c r="H335" i="5" s="1"/>
  <c r="G336" i="5"/>
  <c r="H336" i="5" s="1"/>
  <c r="G337" i="5"/>
  <c r="H337" i="5" s="1"/>
  <c r="G338" i="5"/>
  <c r="H338" i="5" s="1"/>
  <c r="G339" i="5"/>
  <c r="H339" i="5" s="1"/>
  <c r="G340" i="5"/>
  <c r="H340" i="5"/>
  <c r="G341" i="5"/>
  <c r="H341" i="5"/>
  <c r="G342" i="5"/>
  <c r="H342" i="5"/>
  <c r="G343" i="5"/>
  <c r="H343" i="5"/>
  <c r="G344" i="5"/>
  <c r="H344" i="5"/>
  <c r="G345" i="5"/>
  <c r="H345" i="5"/>
  <c r="G346" i="5"/>
  <c r="H346" i="5"/>
  <c r="G347" i="5"/>
  <c r="H347" i="5"/>
  <c r="G348" i="5"/>
  <c r="H348" i="5"/>
  <c r="G349" i="5"/>
  <c r="H349" i="5"/>
  <c r="G350" i="5"/>
  <c r="H350" i="5"/>
  <c r="G351" i="5"/>
  <c r="H351" i="5"/>
  <c r="G352" i="5"/>
  <c r="H352" i="5"/>
  <c r="G353" i="5"/>
  <c r="H353" i="5"/>
  <c r="G354" i="5"/>
  <c r="H354" i="5"/>
  <c r="G355" i="5"/>
  <c r="H355" i="5"/>
  <c r="G356" i="5"/>
  <c r="H356" i="5"/>
  <c r="G357" i="5"/>
  <c r="H357" i="5"/>
  <c r="G358" i="5"/>
  <c r="H358" i="5"/>
  <c r="G359" i="5"/>
  <c r="H359" i="5"/>
  <c r="G360" i="5"/>
  <c r="H360" i="5"/>
  <c r="G361" i="5"/>
  <c r="H361" i="5"/>
  <c r="G362" i="5"/>
  <c r="H362" i="5"/>
  <c r="G363" i="5"/>
  <c r="H363" i="5"/>
  <c r="G364" i="5"/>
  <c r="H364" i="5"/>
  <c r="G365" i="5"/>
  <c r="H365" i="5"/>
  <c r="G366" i="5"/>
  <c r="H366" i="5"/>
  <c r="G367" i="5"/>
  <c r="H367" i="5"/>
  <c r="G368" i="5"/>
  <c r="H368" i="5"/>
  <c r="G369" i="5"/>
  <c r="H369" i="5"/>
  <c r="G370" i="5"/>
  <c r="H370" i="5"/>
  <c r="G371" i="5"/>
  <c r="H371" i="5"/>
  <c r="G372" i="5"/>
  <c r="H372" i="5"/>
  <c r="G373" i="5"/>
  <c r="H373" i="5"/>
  <c r="G374" i="5"/>
  <c r="H374" i="5"/>
  <c r="G375" i="5"/>
  <c r="H375" i="5"/>
  <c r="G376" i="5"/>
  <c r="H376" i="5"/>
  <c r="G377" i="5"/>
  <c r="H377" i="5"/>
  <c r="G378" i="5"/>
  <c r="H378" i="5"/>
  <c r="G379" i="5"/>
  <c r="H379" i="5"/>
  <c r="G380" i="5"/>
  <c r="H380" i="5"/>
  <c r="G381" i="5"/>
  <c r="H381" i="5"/>
  <c r="G382" i="5"/>
  <c r="H382" i="5"/>
  <c r="G383" i="5"/>
  <c r="H383" i="5"/>
  <c r="G384" i="5"/>
  <c r="H384" i="5"/>
  <c r="G385" i="5"/>
  <c r="H385" i="5"/>
  <c r="G386" i="5"/>
  <c r="H386" i="5"/>
  <c r="G387" i="5"/>
  <c r="H387" i="5"/>
  <c r="G388" i="5"/>
  <c r="H388" i="5"/>
  <c r="G389" i="5"/>
  <c r="H389" i="5"/>
  <c r="G390" i="5"/>
  <c r="H390" i="5"/>
  <c r="G391" i="5"/>
  <c r="H391" i="5"/>
  <c r="G392" i="5"/>
  <c r="H392" i="5"/>
  <c r="G393" i="5"/>
  <c r="H393" i="5"/>
  <c r="G394" i="5"/>
  <c r="H394" i="5"/>
  <c r="G395" i="5"/>
  <c r="H395" i="5"/>
  <c r="G396" i="5"/>
  <c r="H396" i="5"/>
  <c r="G397" i="5"/>
  <c r="H397" i="5"/>
  <c r="G398" i="5"/>
  <c r="H398" i="5"/>
  <c r="G399" i="5"/>
  <c r="H399" i="5"/>
  <c r="G400" i="5"/>
  <c r="H400" i="5"/>
  <c r="G401" i="5"/>
  <c r="H401" i="5"/>
  <c r="G402" i="5"/>
  <c r="H402" i="5"/>
  <c r="G403" i="5"/>
  <c r="H403" i="5"/>
  <c r="G404" i="5"/>
  <c r="H404" i="5"/>
  <c r="G405" i="5"/>
  <c r="H405" i="5"/>
  <c r="G406" i="5"/>
  <c r="H406" i="5"/>
  <c r="G407" i="5"/>
  <c r="H407" i="5"/>
  <c r="G408" i="5"/>
  <c r="H408" i="5"/>
  <c r="G409" i="5"/>
  <c r="H409" i="5"/>
  <c r="G410" i="5"/>
  <c r="H410" i="5"/>
  <c r="G411" i="5"/>
  <c r="H411" i="5"/>
  <c r="G412" i="5"/>
  <c r="H412" i="5"/>
  <c r="G413" i="5"/>
  <c r="H413" i="5"/>
  <c r="G414" i="5"/>
  <c r="H414" i="5"/>
  <c r="G415" i="5"/>
  <c r="H415" i="5"/>
  <c r="G416" i="5"/>
  <c r="H416" i="5"/>
  <c r="G417" i="5"/>
  <c r="H417" i="5"/>
  <c r="G418" i="5"/>
  <c r="H418" i="5"/>
  <c r="G419" i="5"/>
  <c r="H419" i="5"/>
  <c r="G420" i="5"/>
  <c r="H420" i="5"/>
  <c r="G421" i="5"/>
  <c r="H421" i="5"/>
  <c r="G422" i="5"/>
  <c r="H422" i="5"/>
  <c r="G423" i="5"/>
  <c r="H423" i="5"/>
  <c r="G424" i="5"/>
  <c r="H424" i="5"/>
  <c r="G425" i="5"/>
  <c r="H425" i="5"/>
  <c r="G426" i="5"/>
  <c r="H426" i="5"/>
  <c r="G427" i="5"/>
  <c r="H427" i="5"/>
  <c r="G428" i="5"/>
  <c r="H428" i="5"/>
  <c r="G429" i="5"/>
  <c r="H429" i="5"/>
  <c r="G430" i="5"/>
  <c r="H430" i="5"/>
  <c r="G431" i="5"/>
  <c r="H431" i="5"/>
  <c r="G432" i="5"/>
  <c r="H432" i="5"/>
  <c r="G433" i="5"/>
  <c r="H433" i="5"/>
  <c r="G434" i="5"/>
  <c r="H434" i="5"/>
  <c r="G435" i="5"/>
  <c r="H435" i="5"/>
  <c r="G436" i="5"/>
  <c r="H436" i="5"/>
  <c r="G437" i="5"/>
  <c r="H437" i="5"/>
  <c r="G438" i="5"/>
  <c r="H438" i="5"/>
  <c r="G439" i="5"/>
  <c r="H439" i="5"/>
  <c r="G440" i="5"/>
  <c r="H440" i="5"/>
  <c r="G441" i="5"/>
  <c r="H441" i="5"/>
  <c r="G442" i="5"/>
  <c r="H442" i="5"/>
  <c r="G443" i="5"/>
  <c r="H443" i="5"/>
  <c r="G444" i="5"/>
  <c r="H444" i="5"/>
  <c r="G445" i="5"/>
  <c r="H445" i="5"/>
  <c r="G446" i="5"/>
  <c r="H446" i="5"/>
  <c r="G447" i="5"/>
  <c r="H447" i="5"/>
  <c r="G448" i="5"/>
  <c r="H448" i="5"/>
  <c r="G449" i="5"/>
  <c r="H449" i="5"/>
  <c r="G450" i="5"/>
  <c r="H450" i="5"/>
  <c r="G451" i="5"/>
  <c r="H451" i="5"/>
  <c r="G452" i="5"/>
  <c r="H452" i="5"/>
  <c r="G453" i="5"/>
  <c r="H453" i="5"/>
  <c r="G454" i="5"/>
  <c r="H454" i="5"/>
  <c r="G455" i="5"/>
  <c r="H455" i="5"/>
  <c r="G456" i="5"/>
  <c r="H456" i="5"/>
  <c r="G457" i="5"/>
  <c r="H457" i="5"/>
  <c r="G458" i="5"/>
  <c r="H458" i="5"/>
  <c r="G459" i="5"/>
  <c r="H459" i="5"/>
  <c r="G460" i="5"/>
  <c r="H460" i="5"/>
  <c r="G461" i="5"/>
  <c r="H461" i="5"/>
  <c r="G462" i="5"/>
  <c r="H462" i="5"/>
  <c r="G463" i="5"/>
  <c r="H463" i="5"/>
  <c r="G464" i="5"/>
  <c r="H464" i="5"/>
  <c r="G465" i="5"/>
  <c r="H465" i="5"/>
  <c r="G466" i="5"/>
  <c r="H466" i="5"/>
  <c r="G467" i="5"/>
  <c r="H467" i="5"/>
  <c r="G468" i="5"/>
  <c r="H468" i="5"/>
  <c r="G469" i="5"/>
  <c r="H469" i="5"/>
  <c r="G470" i="5"/>
  <c r="H470" i="5"/>
  <c r="G471" i="5"/>
  <c r="H471" i="5"/>
  <c r="G472" i="5"/>
  <c r="H472" i="5"/>
  <c r="G473" i="5"/>
  <c r="H473" i="5"/>
  <c r="G474" i="5"/>
  <c r="H474" i="5"/>
  <c r="G475" i="5"/>
  <c r="H475" i="5"/>
  <c r="G476" i="5"/>
  <c r="H476" i="5"/>
  <c r="G477" i="5"/>
  <c r="H477" i="5"/>
  <c r="G478" i="5"/>
  <c r="H478" i="5"/>
  <c r="G479" i="5"/>
  <c r="H479" i="5"/>
  <c r="G480" i="5"/>
  <c r="H480" i="5"/>
  <c r="G481" i="5"/>
  <c r="H481" i="5"/>
  <c r="G482" i="5"/>
  <c r="H482" i="5"/>
  <c r="G483" i="5"/>
  <c r="H483" i="5"/>
  <c r="G484" i="5"/>
  <c r="H484" i="5"/>
  <c r="G485" i="5"/>
  <c r="H485" i="5"/>
  <c r="G486" i="5"/>
  <c r="H486" i="5"/>
  <c r="G487" i="5"/>
  <c r="H487" i="5"/>
  <c r="G488" i="5"/>
  <c r="H488" i="5"/>
  <c r="G489" i="5"/>
  <c r="H489" i="5"/>
  <c r="G490" i="5"/>
  <c r="H490" i="5"/>
  <c r="G491" i="5"/>
  <c r="H491" i="5"/>
  <c r="G492" i="5"/>
  <c r="H492" i="5"/>
  <c r="G493" i="5"/>
  <c r="H493" i="5"/>
  <c r="G494" i="5"/>
  <c r="H494" i="5"/>
  <c r="G495" i="5"/>
  <c r="H495" i="5"/>
  <c r="G496" i="5"/>
  <c r="H496" i="5"/>
  <c r="G497" i="5"/>
  <c r="H497" i="5"/>
  <c r="G498" i="5"/>
  <c r="H498" i="5"/>
  <c r="G499" i="5"/>
  <c r="H499" i="5"/>
  <c r="G500" i="5"/>
  <c r="H500" i="5"/>
  <c r="G2" i="5"/>
  <c r="H2" i="5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2" i="1"/>
  <c r="H3" i="1"/>
  <c r="I3" i="1"/>
  <c r="J3" i="1"/>
  <c r="K3" i="1" s="1"/>
  <c r="M3" i="1"/>
  <c r="L3" i="1" s="1"/>
  <c r="H4" i="1"/>
  <c r="I4" i="1"/>
  <c r="J4" i="1"/>
  <c r="K4" i="1" s="1"/>
  <c r="M4" i="1"/>
  <c r="L4" i="1" s="1"/>
  <c r="N4" i="1"/>
  <c r="H5" i="1"/>
  <c r="I5" i="1"/>
  <c r="J5" i="1"/>
  <c r="K5" i="1" s="1"/>
  <c r="L5" i="1"/>
  <c r="M5" i="1"/>
  <c r="N5" i="1"/>
  <c r="H6" i="1"/>
  <c r="I6" i="1"/>
  <c r="J6" i="1"/>
  <c r="K6" i="1" s="1"/>
  <c r="L6" i="1"/>
  <c r="M6" i="1"/>
  <c r="N6" i="1" s="1"/>
  <c r="H7" i="1"/>
  <c r="I7" i="1"/>
  <c r="J7" i="1"/>
  <c r="K7" i="1"/>
  <c r="L7" i="1"/>
  <c r="M7" i="1"/>
  <c r="N7" i="1" s="1"/>
  <c r="H8" i="1"/>
  <c r="I8" i="1"/>
  <c r="J8" i="1"/>
  <c r="K8" i="1" s="1"/>
  <c r="L8" i="1"/>
  <c r="M8" i="1"/>
  <c r="N8" i="1" s="1"/>
  <c r="H9" i="1"/>
  <c r="I9" i="1"/>
  <c r="J9" i="1"/>
  <c r="K9" i="1"/>
  <c r="M9" i="1"/>
  <c r="H10" i="1"/>
  <c r="I10" i="1"/>
  <c r="J10" i="1"/>
  <c r="K10" i="1"/>
  <c r="L10" i="1"/>
  <c r="M10" i="1"/>
  <c r="N10" i="1"/>
  <c r="H11" i="1"/>
  <c r="I11" i="1"/>
  <c r="J11" i="1"/>
  <c r="K11" i="1" s="1"/>
  <c r="M11" i="1"/>
  <c r="L11" i="1" s="1"/>
  <c r="H12" i="1"/>
  <c r="I12" i="1"/>
  <c r="J12" i="1"/>
  <c r="K12" i="1" s="1"/>
  <c r="M12" i="1"/>
  <c r="L12" i="1" s="1"/>
  <c r="N12" i="1"/>
  <c r="H13" i="1"/>
  <c r="I13" i="1"/>
  <c r="J13" i="1"/>
  <c r="K13" i="1" s="1"/>
  <c r="L13" i="1"/>
  <c r="M13" i="1"/>
  <c r="N13" i="1"/>
  <c r="H14" i="1"/>
  <c r="I14" i="1"/>
  <c r="J14" i="1"/>
  <c r="K14" i="1" s="1"/>
  <c r="L14" i="1"/>
  <c r="M14" i="1"/>
  <c r="N14" i="1" s="1"/>
  <c r="H15" i="1"/>
  <c r="I15" i="1"/>
  <c r="J15" i="1"/>
  <c r="K15" i="1"/>
  <c r="L15" i="1"/>
  <c r="M15" i="1"/>
  <c r="N15" i="1" s="1"/>
  <c r="H16" i="1"/>
  <c r="I16" i="1"/>
  <c r="J16" i="1"/>
  <c r="K16" i="1" s="1"/>
  <c r="L16" i="1"/>
  <c r="M16" i="1"/>
  <c r="N16" i="1" s="1"/>
  <c r="H17" i="1"/>
  <c r="I17" i="1"/>
  <c r="J17" i="1"/>
  <c r="K17" i="1"/>
  <c r="M17" i="1"/>
  <c r="H18" i="1"/>
  <c r="I18" i="1"/>
  <c r="J18" i="1"/>
  <c r="K18" i="1"/>
  <c r="L18" i="1"/>
  <c r="M18" i="1"/>
  <c r="N18" i="1"/>
  <c r="H19" i="1"/>
  <c r="I19" i="1"/>
  <c r="J19" i="1"/>
  <c r="K19" i="1" s="1"/>
  <c r="M19" i="1"/>
  <c r="L19" i="1" s="1"/>
  <c r="H20" i="1"/>
  <c r="I20" i="1"/>
  <c r="J20" i="1"/>
  <c r="K20" i="1" s="1"/>
  <c r="M20" i="1"/>
  <c r="L20" i="1" s="1"/>
  <c r="N20" i="1"/>
  <c r="H21" i="1"/>
  <c r="I21" i="1"/>
  <c r="J21" i="1"/>
  <c r="K21" i="1" s="1"/>
  <c r="L21" i="1"/>
  <c r="M21" i="1"/>
  <c r="N21" i="1"/>
  <c r="H22" i="1"/>
  <c r="I22" i="1"/>
  <c r="J22" i="1"/>
  <c r="K22" i="1" s="1"/>
  <c r="L22" i="1"/>
  <c r="M22" i="1"/>
  <c r="N22" i="1" s="1"/>
  <c r="H23" i="1"/>
  <c r="I23" i="1"/>
  <c r="J23" i="1"/>
  <c r="K23" i="1"/>
  <c r="L23" i="1"/>
  <c r="M23" i="1"/>
  <c r="N23" i="1" s="1"/>
  <c r="H24" i="1"/>
  <c r="I24" i="1"/>
  <c r="J24" i="1"/>
  <c r="K24" i="1" s="1"/>
  <c r="L24" i="1"/>
  <c r="M24" i="1"/>
  <c r="N24" i="1" s="1"/>
  <c r="H25" i="1"/>
  <c r="I25" i="1"/>
  <c r="J25" i="1"/>
  <c r="K25" i="1"/>
  <c r="M25" i="1"/>
  <c r="H26" i="1"/>
  <c r="I26" i="1"/>
  <c r="J26" i="1"/>
  <c r="K26" i="1"/>
  <c r="L26" i="1"/>
  <c r="M26" i="1"/>
  <c r="N26" i="1"/>
  <c r="H27" i="1"/>
  <c r="I27" i="1"/>
  <c r="J27" i="1"/>
  <c r="K27" i="1" s="1"/>
  <c r="M27" i="1"/>
  <c r="L27" i="1" s="1"/>
  <c r="H28" i="1"/>
  <c r="I28" i="1"/>
  <c r="J28" i="1"/>
  <c r="K28" i="1" s="1"/>
  <c r="M28" i="1"/>
  <c r="L28" i="1" s="1"/>
  <c r="N28" i="1"/>
  <c r="H29" i="1"/>
  <c r="I29" i="1"/>
  <c r="J29" i="1"/>
  <c r="K29" i="1" s="1"/>
  <c r="L29" i="1"/>
  <c r="M29" i="1"/>
  <c r="N29" i="1"/>
  <c r="H30" i="1"/>
  <c r="I30" i="1"/>
  <c r="J30" i="1"/>
  <c r="K30" i="1" s="1"/>
  <c r="L30" i="1"/>
  <c r="M30" i="1"/>
  <c r="N30" i="1" s="1"/>
  <c r="H31" i="1"/>
  <c r="I31" i="1"/>
  <c r="J31" i="1"/>
  <c r="K31" i="1"/>
  <c r="L31" i="1"/>
  <c r="M31" i="1"/>
  <c r="N31" i="1" s="1"/>
  <c r="H32" i="1"/>
  <c r="I32" i="1"/>
  <c r="J32" i="1"/>
  <c r="K32" i="1" s="1"/>
  <c r="L32" i="1"/>
  <c r="M32" i="1"/>
  <c r="N32" i="1" s="1"/>
  <c r="H33" i="1"/>
  <c r="I33" i="1"/>
  <c r="J33" i="1"/>
  <c r="K33" i="1"/>
  <c r="M33" i="1"/>
  <c r="H34" i="1"/>
  <c r="I34" i="1"/>
  <c r="J34" i="1"/>
  <c r="K34" i="1"/>
  <c r="L34" i="1"/>
  <c r="M34" i="1"/>
  <c r="N34" i="1"/>
  <c r="H35" i="1"/>
  <c r="I35" i="1"/>
  <c r="J35" i="1"/>
  <c r="K35" i="1" s="1"/>
  <c r="M35" i="1"/>
  <c r="L35" i="1" s="1"/>
  <c r="H36" i="1"/>
  <c r="I36" i="1"/>
  <c r="J36" i="1"/>
  <c r="K36" i="1" s="1"/>
  <c r="M36" i="1"/>
  <c r="L36" i="1" s="1"/>
  <c r="N36" i="1"/>
  <c r="H37" i="1"/>
  <c r="I37" i="1"/>
  <c r="J37" i="1"/>
  <c r="K37" i="1" s="1"/>
  <c r="L37" i="1"/>
  <c r="M37" i="1"/>
  <c r="N37" i="1"/>
  <c r="H38" i="1"/>
  <c r="I38" i="1"/>
  <c r="J38" i="1"/>
  <c r="K38" i="1" s="1"/>
  <c r="L38" i="1"/>
  <c r="M38" i="1"/>
  <c r="N38" i="1" s="1"/>
  <c r="H39" i="1"/>
  <c r="I39" i="1"/>
  <c r="J39" i="1"/>
  <c r="K39" i="1"/>
  <c r="L39" i="1"/>
  <c r="M39" i="1"/>
  <c r="N39" i="1" s="1"/>
  <c r="H40" i="1"/>
  <c r="I40" i="1"/>
  <c r="J40" i="1"/>
  <c r="K40" i="1" s="1"/>
  <c r="L40" i="1"/>
  <c r="M40" i="1"/>
  <c r="N40" i="1" s="1"/>
  <c r="H41" i="1"/>
  <c r="I41" i="1"/>
  <c r="J41" i="1"/>
  <c r="K41" i="1"/>
  <c r="M41" i="1"/>
  <c r="H42" i="1"/>
  <c r="I42" i="1"/>
  <c r="J42" i="1"/>
  <c r="K42" i="1"/>
  <c r="L42" i="1"/>
  <c r="M42" i="1"/>
  <c r="N42" i="1"/>
  <c r="H43" i="1"/>
  <c r="I43" i="1"/>
  <c r="J43" i="1"/>
  <c r="K43" i="1" s="1"/>
  <c r="M43" i="1"/>
  <c r="L43" i="1" s="1"/>
  <c r="H44" i="1"/>
  <c r="I44" i="1"/>
  <c r="J44" i="1"/>
  <c r="K44" i="1" s="1"/>
  <c r="M44" i="1"/>
  <c r="L44" i="1" s="1"/>
  <c r="N44" i="1"/>
  <c r="H45" i="1"/>
  <c r="I45" i="1"/>
  <c r="J45" i="1"/>
  <c r="K45" i="1" s="1"/>
  <c r="L45" i="1"/>
  <c r="M45" i="1"/>
  <c r="N45" i="1"/>
  <c r="H46" i="1"/>
  <c r="I46" i="1"/>
  <c r="J46" i="1"/>
  <c r="K46" i="1" s="1"/>
  <c r="L46" i="1"/>
  <c r="M46" i="1"/>
  <c r="N46" i="1" s="1"/>
  <c r="H47" i="1"/>
  <c r="I47" i="1"/>
  <c r="J47" i="1"/>
  <c r="K47" i="1"/>
  <c r="L47" i="1"/>
  <c r="M47" i="1"/>
  <c r="N47" i="1" s="1"/>
  <c r="H48" i="1"/>
  <c r="I48" i="1"/>
  <c r="J48" i="1"/>
  <c r="K48" i="1" s="1"/>
  <c r="L48" i="1"/>
  <c r="M48" i="1"/>
  <c r="N48" i="1" s="1"/>
  <c r="H49" i="1"/>
  <c r="I49" i="1"/>
  <c r="J49" i="1"/>
  <c r="K49" i="1"/>
  <c r="M49" i="1"/>
  <c r="H50" i="1"/>
  <c r="I50" i="1"/>
  <c r="J50" i="1"/>
  <c r="K50" i="1"/>
  <c r="L50" i="1"/>
  <c r="M50" i="1"/>
  <c r="N50" i="1"/>
  <c r="H51" i="1"/>
  <c r="I51" i="1"/>
  <c r="J51" i="1"/>
  <c r="K51" i="1" s="1"/>
  <c r="M51" i="1"/>
  <c r="L51" i="1" s="1"/>
  <c r="H52" i="1"/>
  <c r="I52" i="1"/>
  <c r="J52" i="1"/>
  <c r="K52" i="1" s="1"/>
  <c r="M52" i="1"/>
  <c r="L52" i="1" s="1"/>
  <c r="N52" i="1"/>
  <c r="H53" i="1"/>
  <c r="I53" i="1"/>
  <c r="J53" i="1"/>
  <c r="K53" i="1" s="1"/>
  <c r="L53" i="1"/>
  <c r="M53" i="1"/>
  <c r="N53" i="1"/>
  <c r="H54" i="1"/>
  <c r="I54" i="1"/>
  <c r="J54" i="1"/>
  <c r="K54" i="1" s="1"/>
  <c r="L54" i="1"/>
  <c r="M54" i="1"/>
  <c r="N54" i="1" s="1"/>
  <c r="H55" i="1"/>
  <c r="I55" i="1"/>
  <c r="J55" i="1"/>
  <c r="K55" i="1"/>
  <c r="M55" i="1"/>
  <c r="L55" i="1" s="1"/>
  <c r="H56" i="1"/>
  <c r="I56" i="1"/>
  <c r="J56" i="1"/>
  <c r="K56" i="1" s="1"/>
  <c r="L56" i="1"/>
  <c r="M56" i="1"/>
  <c r="N56" i="1"/>
  <c r="H57" i="1"/>
  <c r="I57" i="1"/>
  <c r="J57" i="1"/>
  <c r="K57" i="1" s="1"/>
  <c r="M57" i="1"/>
  <c r="H58" i="1"/>
  <c r="I58" i="1"/>
  <c r="J58" i="1"/>
  <c r="K58" i="1"/>
  <c r="L58" i="1"/>
  <c r="M58" i="1"/>
  <c r="N58" i="1"/>
  <c r="H59" i="1"/>
  <c r="I59" i="1"/>
  <c r="J59" i="1"/>
  <c r="K59" i="1" s="1"/>
  <c r="L59" i="1"/>
  <c r="M59" i="1"/>
  <c r="N59" i="1" s="1"/>
  <c r="H60" i="1"/>
  <c r="I60" i="1"/>
  <c r="J60" i="1"/>
  <c r="K60" i="1" s="1"/>
  <c r="M60" i="1"/>
  <c r="L60" i="1" s="1"/>
  <c r="H61" i="1"/>
  <c r="I61" i="1"/>
  <c r="J61" i="1"/>
  <c r="K61" i="1"/>
  <c r="L61" i="1"/>
  <c r="M61" i="1"/>
  <c r="N61" i="1"/>
  <c r="H62" i="1"/>
  <c r="I62" i="1"/>
  <c r="J62" i="1"/>
  <c r="K62" i="1" s="1"/>
  <c r="L62" i="1"/>
  <c r="M62" i="1"/>
  <c r="N62" i="1" s="1"/>
  <c r="H63" i="1"/>
  <c r="I63" i="1"/>
  <c r="J63" i="1"/>
  <c r="K63" i="1"/>
  <c r="M63" i="1"/>
  <c r="L63" i="1" s="1"/>
  <c r="H64" i="1"/>
  <c r="I64" i="1"/>
  <c r="J64" i="1"/>
  <c r="K64" i="1" s="1"/>
  <c r="L64" i="1"/>
  <c r="M64" i="1"/>
  <c r="N64" i="1"/>
  <c r="H65" i="1"/>
  <c r="I65" i="1"/>
  <c r="J65" i="1"/>
  <c r="K65" i="1" s="1"/>
  <c r="M65" i="1"/>
  <c r="H66" i="1"/>
  <c r="I66" i="1"/>
  <c r="J66" i="1"/>
  <c r="K66" i="1"/>
  <c r="L66" i="1"/>
  <c r="M66" i="1"/>
  <c r="N66" i="1"/>
  <c r="H67" i="1"/>
  <c r="I67" i="1"/>
  <c r="J67" i="1"/>
  <c r="K67" i="1" s="1"/>
  <c r="L67" i="1"/>
  <c r="M67" i="1"/>
  <c r="N67" i="1" s="1"/>
  <c r="H68" i="1"/>
  <c r="I68" i="1"/>
  <c r="J68" i="1"/>
  <c r="K68" i="1" s="1"/>
  <c r="M68" i="1"/>
  <c r="L68" i="1" s="1"/>
  <c r="H69" i="1"/>
  <c r="I69" i="1"/>
  <c r="J69" i="1"/>
  <c r="K69" i="1"/>
  <c r="L69" i="1"/>
  <c r="M69" i="1"/>
  <c r="N69" i="1"/>
  <c r="H70" i="1"/>
  <c r="I70" i="1"/>
  <c r="J70" i="1"/>
  <c r="K70" i="1" s="1"/>
  <c r="L70" i="1"/>
  <c r="M70" i="1"/>
  <c r="N70" i="1" s="1"/>
  <c r="H71" i="1"/>
  <c r="I71" i="1"/>
  <c r="J71" i="1"/>
  <c r="K71" i="1"/>
  <c r="M71" i="1"/>
  <c r="L71" i="1" s="1"/>
  <c r="H72" i="1"/>
  <c r="I72" i="1"/>
  <c r="J72" i="1"/>
  <c r="K72" i="1" s="1"/>
  <c r="L72" i="1"/>
  <c r="M72" i="1"/>
  <c r="N72" i="1"/>
  <c r="H73" i="1"/>
  <c r="I73" i="1"/>
  <c r="J73" i="1"/>
  <c r="K73" i="1" s="1"/>
  <c r="M73" i="1"/>
  <c r="H74" i="1"/>
  <c r="I74" i="1"/>
  <c r="J74" i="1"/>
  <c r="K74" i="1"/>
  <c r="L74" i="1"/>
  <c r="M74" i="1"/>
  <c r="N74" i="1"/>
  <c r="H75" i="1"/>
  <c r="I75" i="1"/>
  <c r="J75" i="1"/>
  <c r="K75" i="1" s="1"/>
  <c r="L75" i="1"/>
  <c r="M75" i="1"/>
  <c r="N75" i="1" s="1"/>
  <c r="H76" i="1"/>
  <c r="I76" i="1"/>
  <c r="J76" i="1"/>
  <c r="K76" i="1" s="1"/>
  <c r="M76" i="1"/>
  <c r="L76" i="1" s="1"/>
  <c r="H77" i="1"/>
  <c r="I77" i="1"/>
  <c r="J77" i="1"/>
  <c r="K77" i="1"/>
  <c r="L77" i="1"/>
  <c r="M77" i="1"/>
  <c r="N77" i="1"/>
  <c r="H78" i="1"/>
  <c r="I78" i="1"/>
  <c r="J78" i="1"/>
  <c r="K78" i="1" s="1"/>
  <c r="L78" i="1"/>
  <c r="M78" i="1"/>
  <c r="N78" i="1" s="1"/>
  <c r="H79" i="1"/>
  <c r="I79" i="1"/>
  <c r="J79" i="1"/>
  <c r="K79" i="1"/>
  <c r="M79" i="1"/>
  <c r="L79" i="1" s="1"/>
  <c r="H80" i="1"/>
  <c r="I80" i="1"/>
  <c r="J80" i="1"/>
  <c r="K80" i="1" s="1"/>
  <c r="L80" i="1"/>
  <c r="M80" i="1"/>
  <c r="N80" i="1"/>
  <c r="H81" i="1"/>
  <c r="I81" i="1"/>
  <c r="J81" i="1"/>
  <c r="K81" i="1" s="1"/>
  <c r="M81" i="1"/>
  <c r="H82" i="1"/>
  <c r="I82" i="1"/>
  <c r="J82" i="1"/>
  <c r="K82" i="1"/>
  <c r="L82" i="1"/>
  <c r="M82" i="1"/>
  <c r="N82" i="1"/>
  <c r="H83" i="1"/>
  <c r="I83" i="1"/>
  <c r="J83" i="1"/>
  <c r="K83" i="1" s="1"/>
  <c r="L83" i="1"/>
  <c r="M83" i="1"/>
  <c r="N83" i="1" s="1"/>
  <c r="H84" i="1"/>
  <c r="I84" i="1"/>
  <c r="J84" i="1"/>
  <c r="K84" i="1" s="1"/>
  <c r="M84" i="1"/>
  <c r="L84" i="1" s="1"/>
  <c r="H85" i="1"/>
  <c r="I85" i="1"/>
  <c r="J85" i="1"/>
  <c r="K85" i="1"/>
  <c r="L85" i="1"/>
  <c r="M85" i="1"/>
  <c r="N85" i="1"/>
  <c r="H86" i="1"/>
  <c r="I86" i="1"/>
  <c r="J86" i="1"/>
  <c r="K86" i="1" s="1"/>
  <c r="L86" i="1"/>
  <c r="M86" i="1"/>
  <c r="N86" i="1" s="1"/>
  <c r="H87" i="1"/>
  <c r="I87" i="1"/>
  <c r="J87" i="1"/>
  <c r="K87" i="1"/>
  <c r="M87" i="1"/>
  <c r="L87" i="1" s="1"/>
  <c r="H88" i="1"/>
  <c r="I88" i="1"/>
  <c r="J88" i="1"/>
  <c r="K88" i="1" s="1"/>
  <c r="L88" i="1"/>
  <c r="M88" i="1"/>
  <c r="N88" i="1"/>
  <c r="H89" i="1"/>
  <c r="I89" i="1"/>
  <c r="J89" i="1"/>
  <c r="K89" i="1" s="1"/>
  <c r="M89" i="1"/>
  <c r="H90" i="1"/>
  <c r="I90" i="1"/>
  <c r="J90" i="1"/>
  <c r="K90" i="1"/>
  <c r="L90" i="1"/>
  <c r="M90" i="1"/>
  <c r="N90" i="1"/>
  <c r="H91" i="1"/>
  <c r="I91" i="1"/>
  <c r="J91" i="1"/>
  <c r="K91" i="1" s="1"/>
  <c r="L91" i="1"/>
  <c r="M91" i="1"/>
  <c r="N91" i="1" s="1"/>
  <c r="H92" i="1"/>
  <c r="I92" i="1"/>
  <c r="J92" i="1"/>
  <c r="K92" i="1" s="1"/>
  <c r="M92" i="1"/>
  <c r="L92" i="1" s="1"/>
  <c r="H93" i="1"/>
  <c r="I93" i="1"/>
  <c r="J93" i="1"/>
  <c r="K93" i="1"/>
  <c r="L93" i="1"/>
  <c r="M93" i="1"/>
  <c r="N93" i="1"/>
  <c r="H94" i="1"/>
  <c r="I94" i="1"/>
  <c r="J94" i="1"/>
  <c r="K94" i="1" s="1"/>
  <c r="L94" i="1"/>
  <c r="M94" i="1"/>
  <c r="N94" i="1" s="1"/>
  <c r="H95" i="1"/>
  <c r="I95" i="1"/>
  <c r="J95" i="1"/>
  <c r="K95" i="1"/>
  <c r="M95" i="1"/>
  <c r="L95" i="1" s="1"/>
  <c r="H96" i="1"/>
  <c r="I96" i="1"/>
  <c r="J96" i="1"/>
  <c r="K96" i="1" s="1"/>
  <c r="L96" i="1"/>
  <c r="M96" i="1"/>
  <c r="N96" i="1"/>
  <c r="H97" i="1"/>
  <c r="I97" i="1"/>
  <c r="J97" i="1"/>
  <c r="K97" i="1" s="1"/>
  <c r="M97" i="1"/>
  <c r="H98" i="1"/>
  <c r="I98" i="1"/>
  <c r="J98" i="1"/>
  <c r="K98" i="1"/>
  <c r="L98" i="1"/>
  <c r="M98" i="1"/>
  <c r="N98" i="1"/>
  <c r="H99" i="1"/>
  <c r="I99" i="1"/>
  <c r="J99" i="1"/>
  <c r="K99" i="1" s="1"/>
  <c r="L99" i="1"/>
  <c r="M99" i="1"/>
  <c r="N99" i="1" s="1"/>
  <c r="H100" i="1"/>
  <c r="I100" i="1"/>
  <c r="J100" i="1"/>
  <c r="K100" i="1" s="1"/>
  <c r="M100" i="1"/>
  <c r="L100" i="1" s="1"/>
  <c r="H101" i="1"/>
  <c r="I101" i="1"/>
  <c r="J101" i="1"/>
  <c r="K101" i="1"/>
  <c r="L101" i="1"/>
  <c r="M101" i="1"/>
  <c r="N101" i="1"/>
  <c r="H102" i="1"/>
  <c r="I102" i="1"/>
  <c r="J102" i="1"/>
  <c r="K102" i="1" s="1"/>
  <c r="L102" i="1"/>
  <c r="M102" i="1"/>
  <c r="N102" i="1" s="1"/>
  <c r="H103" i="1"/>
  <c r="I103" i="1"/>
  <c r="J103" i="1"/>
  <c r="K103" i="1"/>
  <c r="M103" i="1"/>
  <c r="L103" i="1" s="1"/>
  <c r="H104" i="1"/>
  <c r="I104" i="1"/>
  <c r="J104" i="1"/>
  <c r="K104" i="1" s="1"/>
  <c r="L104" i="1"/>
  <c r="M104" i="1"/>
  <c r="N104" i="1"/>
  <c r="H105" i="1"/>
  <c r="I105" i="1"/>
  <c r="J105" i="1"/>
  <c r="K105" i="1" s="1"/>
  <c r="M105" i="1"/>
  <c r="H106" i="1"/>
  <c r="I106" i="1"/>
  <c r="J106" i="1"/>
  <c r="K106" i="1"/>
  <c r="L106" i="1"/>
  <c r="M106" i="1"/>
  <c r="N106" i="1"/>
  <c r="H107" i="1"/>
  <c r="I107" i="1"/>
  <c r="J107" i="1"/>
  <c r="K107" i="1" s="1"/>
  <c r="L107" i="1"/>
  <c r="M107" i="1"/>
  <c r="N107" i="1" s="1"/>
  <c r="H108" i="1"/>
  <c r="I108" i="1"/>
  <c r="J108" i="1"/>
  <c r="K108" i="1" s="1"/>
  <c r="M108" i="1"/>
  <c r="L108" i="1" s="1"/>
  <c r="H109" i="1"/>
  <c r="I109" i="1"/>
  <c r="J109" i="1"/>
  <c r="K109" i="1"/>
  <c r="L109" i="1"/>
  <c r="M109" i="1"/>
  <c r="N109" i="1"/>
  <c r="H110" i="1"/>
  <c r="I110" i="1"/>
  <c r="J110" i="1"/>
  <c r="K110" i="1" s="1"/>
  <c r="L110" i="1"/>
  <c r="M110" i="1"/>
  <c r="N110" i="1" s="1"/>
  <c r="H111" i="1"/>
  <c r="I111" i="1"/>
  <c r="J111" i="1"/>
  <c r="K111" i="1"/>
  <c r="M111" i="1"/>
  <c r="L111" i="1" s="1"/>
  <c r="H112" i="1"/>
  <c r="I112" i="1"/>
  <c r="J112" i="1"/>
  <c r="K112" i="1" s="1"/>
  <c r="L112" i="1"/>
  <c r="M112" i="1"/>
  <c r="N112" i="1"/>
  <c r="H113" i="1"/>
  <c r="I113" i="1"/>
  <c r="J113" i="1"/>
  <c r="K113" i="1" s="1"/>
  <c r="M113" i="1"/>
  <c r="H114" i="1"/>
  <c r="I114" i="1"/>
  <c r="J114" i="1"/>
  <c r="K114" i="1"/>
  <c r="L114" i="1"/>
  <c r="M114" i="1"/>
  <c r="N114" i="1"/>
  <c r="H115" i="1"/>
  <c r="I115" i="1"/>
  <c r="J115" i="1"/>
  <c r="K115" i="1" s="1"/>
  <c r="L115" i="1"/>
  <c r="M115" i="1"/>
  <c r="N115" i="1" s="1"/>
  <c r="H116" i="1"/>
  <c r="I116" i="1"/>
  <c r="J116" i="1"/>
  <c r="K116" i="1" s="1"/>
  <c r="M116" i="1"/>
  <c r="L116" i="1" s="1"/>
  <c r="H117" i="1"/>
  <c r="I117" i="1"/>
  <c r="J117" i="1"/>
  <c r="K117" i="1"/>
  <c r="L117" i="1"/>
  <c r="M117" i="1"/>
  <c r="N117" i="1"/>
  <c r="H118" i="1"/>
  <c r="I118" i="1"/>
  <c r="J118" i="1"/>
  <c r="K118" i="1" s="1"/>
  <c r="L118" i="1"/>
  <c r="M118" i="1"/>
  <c r="N118" i="1" s="1"/>
  <c r="H119" i="1"/>
  <c r="I119" i="1"/>
  <c r="J119" i="1"/>
  <c r="K119" i="1"/>
  <c r="M119" i="1"/>
  <c r="L119" i="1" s="1"/>
  <c r="H120" i="1"/>
  <c r="I120" i="1"/>
  <c r="J120" i="1"/>
  <c r="K120" i="1" s="1"/>
  <c r="L120" i="1"/>
  <c r="M120" i="1"/>
  <c r="N120" i="1"/>
  <c r="H121" i="1"/>
  <c r="I121" i="1"/>
  <c r="J121" i="1"/>
  <c r="K121" i="1" s="1"/>
  <c r="M121" i="1"/>
  <c r="H122" i="1"/>
  <c r="I122" i="1"/>
  <c r="J122" i="1"/>
  <c r="K122" i="1"/>
  <c r="L122" i="1"/>
  <c r="M122" i="1"/>
  <c r="N122" i="1"/>
  <c r="H123" i="1"/>
  <c r="I123" i="1"/>
  <c r="J123" i="1"/>
  <c r="K123" i="1" s="1"/>
  <c r="L123" i="1"/>
  <c r="M123" i="1"/>
  <c r="N123" i="1" s="1"/>
  <c r="H124" i="1"/>
  <c r="I124" i="1"/>
  <c r="J124" i="1"/>
  <c r="K124" i="1" s="1"/>
  <c r="M124" i="1"/>
  <c r="L124" i="1" s="1"/>
  <c r="H125" i="1"/>
  <c r="I125" i="1"/>
  <c r="J125" i="1"/>
  <c r="K125" i="1"/>
  <c r="L125" i="1"/>
  <c r="M125" i="1"/>
  <c r="N125" i="1"/>
  <c r="H126" i="1"/>
  <c r="I126" i="1"/>
  <c r="J126" i="1"/>
  <c r="K126" i="1" s="1"/>
  <c r="L126" i="1"/>
  <c r="M126" i="1"/>
  <c r="N126" i="1" s="1"/>
  <c r="H127" i="1"/>
  <c r="I127" i="1"/>
  <c r="J127" i="1"/>
  <c r="K127" i="1"/>
  <c r="M127" i="1"/>
  <c r="L127" i="1" s="1"/>
  <c r="H128" i="1"/>
  <c r="I128" i="1"/>
  <c r="J128" i="1"/>
  <c r="K128" i="1" s="1"/>
  <c r="L128" i="1"/>
  <c r="M128" i="1"/>
  <c r="N128" i="1"/>
  <c r="H129" i="1"/>
  <c r="I129" i="1"/>
  <c r="J129" i="1"/>
  <c r="K129" i="1" s="1"/>
  <c r="M129" i="1"/>
  <c r="H130" i="1"/>
  <c r="I130" i="1"/>
  <c r="J130" i="1"/>
  <c r="K130" i="1"/>
  <c r="L130" i="1"/>
  <c r="M130" i="1"/>
  <c r="N130" i="1"/>
  <c r="H131" i="1"/>
  <c r="I131" i="1"/>
  <c r="J131" i="1"/>
  <c r="K131" i="1" s="1"/>
  <c r="L131" i="1"/>
  <c r="M131" i="1"/>
  <c r="N131" i="1" s="1"/>
  <c r="H132" i="1"/>
  <c r="I132" i="1"/>
  <c r="J132" i="1"/>
  <c r="K132" i="1" s="1"/>
  <c r="M132" i="1"/>
  <c r="L132" i="1" s="1"/>
  <c r="H133" i="1"/>
  <c r="I133" i="1"/>
  <c r="J133" i="1"/>
  <c r="K133" i="1"/>
  <c r="L133" i="1"/>
  <c r="M133" i="1"/>
  <c r="N133" i="1"/>
  <c r="H134" i="1"/>
  <c r="I134" i="1"/>
  <c r="J134" i="1"/>
  <c r="K134" i="1" s="1"/>
  <c r="L134" i="1"/>
  <c r="M134" i="1"/>
  <c r="N134" i="1" s="1"/>
  <c r="H135" i="1"/>
  <c r="I135" i="1"/>
  <c r="J135" i="1"/>
  <c r="K135" i="1"/>
  <c r="M135" i="1"/>
  <c r="L135" i="1" s="1"/>
  <c r="H136" i="1"/>
  <c r="I136" i="1"/>
  <c r="J136" i="1"/>
  <c r="K136" i="1" s="1"/>
  <c r="L136" i="1"/>
  <c r="M136" i="1"/>
  <c r="N136" i="1"/>
  <c r="H137" i="1"/>
  <c r="I137" i="1"/>
  <c r="J137" i="1"/>
  <c r="K137" i="1" s="1"/>
  <c r="M137" i="1"/>
  <c r="H138" i="1"/>
  <c r="I138" i="1"/>
  <c r="J138" i="1"/>
  <c r="K138" i="1"/>
  <c r="L138" i="1"/>
  <c r="M138" i="1"/>
  <c r="N138" i="1"/>
  <c r="H139" i="1"/>
  <c r="I139" i="1"/>
  <c r="J139" i="1"/>
  <c r="K139" i="1" s="1"/>
  <c r="L139" i="1"/>
  <c r="M139" i="1"/>
  <c r="N139" i="1" s="1"/>
  <c r="H140" i="1"/>
  <c r="I140" i="1"/>
  <c r="J140" i="1"/>
  <c r="K140" i="1" s="1"/>
  <c r="M140" i="1"/>
  <c r="L140" i="1" s="1"/>
  <c r="H141" i="1"/>
  <c r="I141" i="1"/>
  <c r="J141" i="1"/>
  <c r="K141" i="1"/>
  <c r="L141" i="1"/>
  <c r="M141" i="1"/>
  <c r="N141" i="1"/>
  <c r="H142" i="1"/>
  <c r="I142" i="1"/>
  <c r="J142" i="1"/>
  <c r="K142" i="1" s="1"/>
  <c r="L142" i="1"/>
  <c r="M142" i="1"/>
  <c r="N142" i="1" s="1"/>
  <c r="H143" i="1"/>
  <c r="I143" i="1"/>
  <c r="J143" i="1"/>
  <c r="K143" i="1"/>
  <c r="M143" i="1"/>
  <c r="L143" i="1" s="1"/>
  <c r="H144" i="1"/>
  <c r="I144" i="1"/>
  <c r="J144" i="1"/>
  <c r="K144" i="1" s="1"/>
  <c r="L144" i="1"/>
  <c r="M144" i="1"/>
  <c r="N144" i="1"/>
  <c r="H145" i="1"/>
  <c r="I145" i="1"/>
  <c r="J145" i="1"/>
  <c r="K145" i="1" s="1"/>
  <c r="M145" i="1"/>
  <c r="H146" i="1"/>
  <c r="I146" i="1"/>
  <c r="J146" i="1"/>
  <c r="K146" i="1"/>
  <c r="L146" i="1"/>
  <c r="M146" i="1"/>
  <c r="N146" i="1"/>
  <c r="H147" i="1"/>
  <c r="I147" i="1"/>
  <c r="J147" i="1"/>
  <c r="K147" i="1" s="1"/>
  <c r="L147" i="1"/>
  <c r="M147" i="1"/>
  <c r="N147" i="1" s="1"/>
  <c r="H148" i="1"/>
  <c r="I148" i="1"/>
  <c r="J148" i="1"/>
  <c r="K148" i="1" s="1"/>
  <c r="M148" i="1"/>
  <c r="L148" i="1" s="1"/>
  <c r="H149" i="1"/>
  <c r="I149" i="1"/>
  <c r="J149" i="1"/>
  <c r="K149" i="1"/>
  <c r="L149" i="1"/>
  <c r="M149" i="1"/>
  <c r="N149" i="1"/>
  <c r="H150" i="1"/>
  <c r="I150" i="1"/>
  <c r="J150" i="1"/>
  <c r="K150" i="1" s="1"/>
  <c r="L150" i="1"/>
  <c r="M150" i="1"/>
  <c r="N150" i="1" s="1"/>
  <c r="H151" i="1"/>
  <c r="I151" i="1"/>
  <c r="J151" i="1"/>
  <c r="K151" i="1"/>
  <c r="M151" i="1"/>
  <c r="L151" i="1" s="1"/>
  <c r="H152" i="1"/>
  <c r="I152" i="1"/>
  <c r="J152" i="1"/>
  <c r="K152" i="1" s="1"/>
  <c r="L152" i="1"/>
  <c r="M152" i="1"/>
  <c r="N152" i="1"/>
  <c r="H153" i="1"/>
  <c r="I153" i="1"/>
  <c r="J153" i="1"/>
  <c r="K153" i="1" s="1"/>
  <c r="M153" i="1"/>
  <c r="H154" i="1"/>
  <c r="I154" i="1"/>
  <c r="J154" i="1"/>
  <c r="K154" i="1"/>
  <c r="L154" i="1"/>
  <c r="M154" i="1"/>
  <c r="N154" i="1"/>
  <c r="H155" i="1"/>
  <c r="I155" i="1"/>
  <c r="J155" i="1"/>
  <c r="K155" i="1" s="1"/>
  <c r="L155" i="1"/>
  <c r="M155" i="1"/>
  <c r="N155" i="1" s="1"/>
  <c r="H156" i="1"/>
  <c r="I156" i="1"/>
  <c r="J156" i="1"/>
  <c r="K156" i="1" s="1"/>
  <c r="M156" i="1"/>
  <c r="H157" i="1"/>
  <c r="I157" i="1"/>
  <c r="J157" i="1"/>
  <c r="K157" i="1"/>
  <c r="L157" i="1"/>
  <c r="M157" i="1"/>
  <c r="N157" i="1"/>
  <c r="H158" i="1"/>
  <c r="I158" i="1"/>
  <c r="J158" i="1"/>
  <c r="K158" i="1" s="1"/>
  <c r="L158" i="1"/>
  <c r="M158" i="1"/>
  <c r="N158" i="1" s="1"/>
  <c r="H159" i="1"/>
  <c r="I159" i="1"/>
  <c r="J159" i="1"/>
  <c r="K159" i="1"/>
  <c r="M159" i="1"/>
  <c r="H160" i="1"/>
  <c r="I160" i="1"/>
  <c r="J160" i="1"/>
  <c r="K160" i="1" s="1"/>
  <c r="L160" i="1"/>
  <c r="M160" i="1"/>
  <c r="N160" i="1"/>
  <c r="H161" i="1"/>
  <c r="I161" i="1"/>
  <c r="J161" i="1"/>
  <c r="K161" i="1" s="1"/>
  <c r="M161" i="1"/>
  <c r="H162" i="1"/>
  <c r="I162" i="1"/>
  <c r="J162" i="1"/>
  <c r="K162" i="1"/>
  <c r="L162" i="1"/>
  <c r="M162" i="1"/>
  <c r="N162" i="1"/>
  <c r="H163" i="1"/>
  <c r="I163" i="1"/>
  <c r="J163" i="1"/>
  <c r="K163" i="1" s="1"/>
  <c r="L163" i="1"/>
  <c r="M163" i="1"/>
  <c r="N163" i="1" s="1"/>
  <c r="H164" i="1"/>
  <c r="I164" i="1"/>
  <c r="J164" i="1"/>
  <c r="K164" i="1" s="1"/>
  <c r="M164" i="1"/>
  <c r="H165" i="1"/>
  <c r="I165" i="1"/>
  <c r="J165" i="1"/>
  <c r="K165" i="1"/>
  <c r="L165" i="1"/>
  <c r="M165" i="1"/>
  <c r="N165" i="1"/>
  <c r="H166" i="1"/>
  <c r="I166" i="1"/>
  <c r="J166" i="1"/>
  <c r="K166" i="1" s="1"/>
  <c r="L166" i="1"/>
  <c r="M166" i="1"/>
  <c r="N166" i="1" s="1"/>
  <c r="H167" i="1"/>
  <c r="I167" i="1"/>
  <c r="J167" i="1"/>
  <c r="K167" i="1"/>
  <c r="M167" i="1"/>
  <c r="H168" i="1"/>
  <c r="I168" i="1"/>
  <c r="J168" i="1"/>
  <c r="K168" i="1" s="1"/>
  <c r="L168" i="1"/>
  <c r="M168" i="1"/>
  <c r="N168" i="1"/>
  <c r="H169" i="1"/>
  <c r="I169" i="1"/>
  <c r="J169" i="1"/>
  <c r="K169" i="1" s="1"/>
  <c r="M169" i="1"/>
  <c r="H170" i="1"/>
  <c r="I170" i="1"/>
  <c r="J170" i="1"/>
  <c r="K170" i="1"/>
  <c r="L170" i="1"/>
  <c r="M170" i="1"/>
  <c r="N170" i="1"/>
  <c r="H171" i="1"/>
  <c r="I171" i="1"/>
  <c r="J171" i="1"/>
  <c r="K171" i="1" s="1"/>
  <c r="L171" i="1"/>
  <c r="M171" i="1"/>
  <c r="N171" i="1" s="1"/>
  <c r="H172" i="1"/>
  <c r="I172" i="1"/>
  <c r="J172" i="1"/>
  <c r="K172" i="1" s="1"/>
  <c r="M172" i="1"/>
  <c r="H173" i="1"/>
  <c r="I173" i="1"/>
  <c r="J173" i="1"/>
  <c r="K173" i="1"/>
  <c r="L173" i="1"/>
  <c r="M173" i="1"/>
  <c r="N173" i="1"/>
  <c r="H174" i="1"/>
  <c r="I174" i="1"/>
  <c r="J174" i="1"/>
  <c r="K174" i="1" s="1"/>
  <c r="L174" i="1"/>
  <c r="M174" i="1"/>
  <c r="N174" i="1" s="1"/>
  <c r="H175" i="1"/>
  <c r="I175" i="1"/>
  <c r="J175" i="1"/>
  <c r="K175" i="1"/>
  <c r="M175" i="1"/>
  <c r="H176" i="1"/>
  <c r="I176" i="1"/>
  <c r="J176" i="1"/>
  <c r="K176" i="1" s="1"/>
  <c r="L176" i="1"/>
  <c r="M176" i="1"/>
  <c r="N176" i="1"/>
  <c r="H177" i="1"/>
  <c r="I177" i="1"/>
  <c r="J177" i="1"/>
  <c r="K177" i="1" s="1"/>
  <c r="M177" i="1"/>
  <c r="H178" i="1"/>
  <c r="I178" i="1"/>
  <c r="J178" i="1"/>
  <c r="K178" i="1"/>
  <c r="L178" i="1"/>
  <c r="M178" i="1"/>
  <c r="N178" i="1"/>
  <c r="H179" i="1"/>
  <c r="I179" i="1"/>
  <c r="J179" i="1"/>
  <c r="K179" i="1" s="1"/>
  <c r="M179" i="1"/>
  <c r="H180" i="1"/>
  <c r="I180" i="1"/>
  <c r="J180" i="1"/>
  <c r="K180" i="1" s="1"/>
  <c r="M180" i="1"/>
  <c r="L180" i="1" s="1"/>
  <c r="N180" i="1"/>
  <c r="H181" i="1"/>
  <c r="I181" i="1"/>
  <c r="J181" i="1"/>
  <c r="K181" i="1"/>
  <c r="L181" i="1"/>
  <c r="M181" i="1"/>
  <c r="N181" i="1"/>
  <c r="H182" i="1"/>
  <c r="I182" i="1"/>
  <c r="J182" i="1"/>
  <c r="K182" i="1" s="1"/>
  <c r="L182" i="1"/>
  <c r="M182" i="1"/>
  <c r="N182" i="1" s="1"/>
  <c r="H183" i="1"/>
  <c r="I183" i="1"/>
  <c r="J183" i="1"/>
  <c r="K183" i="1"/>
  <c r="M183" i="1"/>
  <c r="H184" i="1"/>
  <c r="I184" i="1"/>
  <c r="J184" i="1"/>
  <c r="K184" i="1" s="1"/>
  <c r="L184" i="1"/>
  <c r="M184" i="1"/>
  <c r="N184" i="1"/>
  <c r="H185" i="1"/>
  <c r="I185" i="1"/>
  <c r="J185" i="1"/>
  <c r="K185" i="1"/>
  <c r="M185" i="1"/>
  <c r="H186" i="1"/>
  <c r="I186" i="1"/>
  <c r="J186" i="1"/>
  <c r="K186" i="1"/>
  <c r="L186" i="1"/>
  <c r="M186" i="1"/>
  <c r="N186" i="1"/>
  <c r="H187" i="1"/>
  <c r="I187" i="1"/>
  <c r="J187" i="1"/>
  <c r="K187" i="1" s="1"/>
  <c r="M187" i="1"/>
  <c r="N187" i="1" s="1"/>
  <c r="H188" i="1"/>
  <c r="I188" i="1"/>
  <c r="J188" i="1"/>
  <c r="K188" i="1" s="1"/>
  <c r="M188" i="1"/>
  <c r="L188" i="1" s="1"/>
  <c r="N188" i="1"/>
  <c r="H189" i="1"/>
  <c r="I189" i="1"/>
  <c r="J189" i="1"/>
  <c r="K189" i="1"/>
  <c r="L189" i="1"/>
  <c r="M189" i="1"/>
  <c r="N189" i="1"/>
  <c r="H190" i="1"/>
  <c r="I190" i="1"/>
  <c r="J190" i="1"/>
  <c r="K190" i="1" s="1"/>
  <c r="L190" i="1"/>
  <c r="M190" i="1"/>
  <c r="N190" i="1" s="1"/>
  <c r="H191" i="1"/>
  <c r="I191" i="1"/>
  <c r="J191" i="1"/>
  <c r="K191" i="1"/>
  <c r="M191" i="1"/>
  <c r="H192" i="1"/>
  <c r="I192" i="1"/>
  <c r="J192" i="1"/>
  <c r="K192" i="1" s="1"/>
  <c r="L192" i="1"/>
  <c r="M192" i="1"/>
  <c r="N192" i="1"/>
  <c r="H193" i="1"/>
  <c r="I193" i="1"/>
  <c r="J193" i="1"/>
  <c r="K193" i="1"/>
  <c r="M193" i="1"/>
  <c r="H194" i="1"/>
  <c r="I194" i="1"/>
  <c r="J194" i="1"/>
  <c r="K194" i="1"/>
  <c r="L194" i="1"/>
  <c r="M194" i="1"/>
  <c r="N194" i="1"/>
  <c r="H195" i="1"/>
  <c r="I195" i="1"/>
  <c r="J195" i="1"/>
  <c r="K195" i="1" s="1"/>
  <c r="M195" i="1"/>
  <c r="N195" i="1" s="1"/>
  <c r="H196" i="1"/>
  <c r="I196" i="1"/>
  <c r="J196" i="1"/>
  <c r="K196" i="1" s="1"/>
  <c r="M196" i="1"/>
  <c r="L196" i="1" s="1"/>
  <c r="N196" i="1"/>
  <c r="H197" i="1"/>
  <c r="I197" i="1"/>
  <c r="J197" i="1"/>
  <c r="K197" i="1"/>
  <c r="L197" i="1"/>
  <c r="M197" i="1"/>
  <c r="N197" i="1"/>
  <c r="H198" i="1"/>
  <c r="I198" i="1"/>
  <c r="J198" i="1"/>
  <c r="K198" i="1" s="1"/>
  <c r="M198" i="1"/>
  <c r="N198" i="1" s="1"/>
  <c r="H199" i="1"/>
  <c r="I199" i="1"/>
  <c r="J199" i="1"/>
  <c r="K199" i="1"/>
  <c r="M199" i="1"/>
  <c r="L199" i="1" s="1"/>
  <c r="N199" i="1"/>
  <c r="H200" i="1"/>
  <c r="I200" i="1"/>
  <c r="J200" i="1"/>
  <c r="K200" i="1" s="1"/>
  <c r="L200" i="1"/>
  <c r="M200" i="1"/>
  <c r="N200" i="1"/>
  <c r="H201" i="1"/>
  <c r="I201" i="1"/>
  <c r="J201" i="1"/>
  <c r="K201" i="1"/>
  <c r="M201" i="1"/>
  <c r="H202" i="1"/>
  <c r="I202" i="1"/>
  <c r="J202" i="1"/>
  <c r="K202" i="1"/>
  <c r="L202" i="1"/>
  <c r="M202" i="1"/>
  <c r="N202" i="1"/>
  <c r="H203" i="1"/>
  <c r="I203" i="1"/>
  <c r="J203" i="1"/>
  <c r="K203" i="1" s="1"/>
  <c r="L203" i="1"/>
  <c r="M203" i="1"/>
  <c r="N203" i="1" s="1"/>
  <c r="H204" i="1"/>
  <c r="I204" i="1"/>
  <c r="J204" i="1"/>
  <c r="K204" i="1"/>
  <c r="M204" i="1"/>
  <c r="L204" i="1" s="1"/>
  <c r="N204" i="1"/>
  <c r="H205" i="1"/>
  <c r="I205" i="1"/>
  <c r="J205" i="1"/>
  <c r="K205" i="1"/>
  <c r="L205" i="1"/>
  <c r="M205" i="1"/>
  <c r="N205" i="1"/>
  <c r="H206" i="1"/>
  <c r="I206" i="1"/>
  <c r="J206" i="1"/>
  <c r="K206" i="1" s="1"/>
  <c r="L206" i="1"/>
  <c r="M206" i="1"/>
  <c r="N206" i="1" s="1"/>
  <c r="H207" i="1"/>
  <c r="I207" i="1"/>
  <c r="J207" i="1"/>
  <c r="K207" i="1"/>
  <c r="M207" i="1"/>
  <c r="H208" i="1"/>
  <c r="I208" i="1"/>
  <c r="J208" i="1"/>
  <c r="K208" i="1" s="1"/>
  <c r="L208" i="1"/>
  <c r="M208" i="1"/>
  <c r="N208" i="1"/>
  <c r="H209" i="1"/>
  <c r="I209" i="1"/>
  <c r="J209" i="1"/>
  <c r="K209" i="1" s="1"/>
  <c r="M209" i="1"/>
  <c r="L209" i="1" s="1"/>
  <c r="N209" i="1"/>
  <c r="H210" i="1"/>
  <c r="I210" i="1"/>
  <c r="J210" i="1"/>
  <c r="K210" i="1"/>
  <c r="L210" i="1"/>
  <c r="M210" i="1"/>
  <c r="N210" i="1"/>
  <c r="H211" i="1"/>
  <c r="I211" i="1"/>
  <c r="J211" i="1"/>
  <c r="K211" i="1" s="1"/>
  <c r="L211" i="1"/>
  <c r="M211" i="1"/>
  <c r="N211" i="1" s="1"/>
  <c r="H212" i="1"/>
  <c r="I212" i="1"/>
  <c r="J212" i="1"/>
  <c r="K212" i="1" s="1"/>
  <c r="M212" i="1"/>
  <c r="L212" i="1" s="1"/>
  <c r="N212" i="1"/>
  <c r="H213" i="1"/>
  <c r="I213" i="1"/>
  <c r="J213" i="1"/>
  <c r="K213" i="1" s="1"/>
  <c r="L213" i="1"/>
  <c r="M213" i="1"/>
  <c r="N213" i="1"/>
  <c r="H214" i="1"/>
  <c r="I214" i="1"/>
  <c r="J214" i="1"/>
  <c r="K214" i="1"/>
  <c r="M214" i="1"/>
  <c r="N214" i="1" s="1"/>
  <c r="H215" i="1"/>
  <c r="I215" i="1"/>
  <c r="J215" i="1"/>
  <c r="K215" i="1"/>
  <c r="M215" i="1"/>
  <c r="N215" i="1" s="1"/>
  <c r="H216" i="1"/>
  <c r="I216" i="1"/>
  <c r="J216" i="1"/>
  <c r="K216" i="1" s="1"/>
  <c r="M216" i="1"/>
  <c r="H217" i="1"/>
  <c r="I217" i="1"/>
  <c r="J217" i="1"/>
  <c r="K217" i="1" s="1"/>
  <c r="M217" i="1"/>
  <c r="L217" i="1" s="1"/>
  <c r="N217" i="1"/>
  <c r="H218" i="1"/>
  <c r="I218" i="1"/>
  <c r="J218" i="1"/>
  <c r="K218" i="1"/>
  <c r="L218" i="1"/>
  <c r="M218" i="1"/>
  <c r="N218" i="1"/>
  <c r="H219" i="1"/>
  <c r="I219" i="1"/>
  <c r="J219" i="1"/>
  <c r="K219" i="1" s="1"/>
  <c r="L219" i="1"/>
  <c r="M219" i="1"/>
  <c r="N219" i="1" s="1"/>
  <c r="H220" i="1"/>
  <c r="I220" i="1"/>
  <c r="J220" i="1"/>
  <c r="K220" i="1" s="1"/>
  <c r="M220" i="1"/>
  <c r="H221" i="1"/>
  <c r="I221" i="1"/>
  <c r="J221" i="1"/>
  <c r="K221" i="1" s="1"/>
  <c r="L221" i="1"/>
  <c r="M221" i="1"/>
  <c r="N221" i="1"/>
  <c r="H222" i="1"/>
  <c r="I222" i="1"/>
  <c r="J222" i="1"/>
  <c r="K222" i="1"/>
  <c r="L222" i="1"/>
  <c r="M222" i="1"/>
  <c r="N222" i="1" s="1"/>
  <c r="H223" i="1"/>
  <c r="I223" i="1"/>
  <c r="J223" i="1"/>
  <c r="K223" i="1"/>
  <c r="L223" i="1"/>
  <c r="M223" i="1"/>
  <c r="N223" i="1" s="1"/>
  <c r="H224" i="1"/>
  <c r="I224" i="1"/>
  <c r="J224" i="1"/>
  <c r="K224" i="1" s="1"/>
  <c r="L224" i="1"/>
  <c r="M224" i="1"/>
  <c r="N224" i="1"/>
  <c r="H225" i="1"/>
  <c r="I225" i="1"/>
  <c r="J225" i="1"/>
  <c r="K225" i="1"/>
  <c r="M225" i="1"/>
  <c r="L225" i="1" s="1"/>
  <c r="H226" i="1"/>
  <c r="I226" i="1"/>
  <c r="J226" i="1"/>
  <c r="K226" i="1" s="1"/>
  <c r="L226" i="1"/>
  <c r="M226" i="1"/>
  <c r="N226" i="1"/>
  <c r="H227" i="1"/>
  <c r="I227" i="1"/>
  <c r="J227" i="1"/>
  <c r="K227" i="1" s="1"/>
  <c r="M227" i="1"/>
  <c r="N227" i="1" s="1"/>
  <c r="H228" i="1"/>
  <c r="I228" i="1"/>
  <c r="J228" i="1"/>
  <c r="K228" i="1" s="1"/>
  <c r="L228" i="1"/>
  <c r="M228" i="1"/>
  <c r="N228" i="1" s="1"/>
  <c r="H229" i="1"/>
  <c r="I229" i="1"/>
  <c r="J229" i="1"/>
  <c r="K229" i="1" s="1"/>
  <c r="M229" i="1"/>
  <c r="L229" i="1" s="1"/>
  <c r="H230" i="1"/>
  <c r="I230" i="1"/>
  <c r="J230" i="1"/>
  <c r="K230" i="1" s="1"/>
  <c r="L230" i="1"/>
  <c r="M230" i="1"/>
  <c r="N230" i="1"/>
  <c r="H231" i="1"/>
  <c r="I231" i="1"/>
  <c r="J231" i="1"/>
  <c r="K231" i="1"/>
  <c r="L231" i="1"/>
  <c r="M231" i="1"/>
  <c r="N231" i="1" s="1"/>
  <c r="H232" i="1"/>
  <c r="I232" i="1"/>
  <c r="J232" i="1"/>
  <c r="K232" i="1"/>
  <c r="L232" i="1"/>
  <c r="M232" i="1"/>
  <c r="N232" i="1" s="1"/>
  <c r="H233" i="1"/>
  <c r="I233" i="1"/>
  <c r="J233" i="1"/>
  <c r="K233" i="1" s="1"/>
  <c r="M233" i="1"/>
  <c r="H234" i="1"/>
  <c r="I234" i="1"/>
  <c r="J234" i="1"/>
  <c r="K234" i="1" s="1"/>
  <c r="M234" i="1"/>
  <c r="L234" i="1" s="1"/>
  <c r="N234" i="1"/>
  <c r="H235" i="1"/>
  <c r="I235" i="1"/>
  <c r="J235" i="1"/>
  <c r="K235" i="1"/>
  <c r="L235" i="1"/>
  <c r="M235" i="1"/>
  <c r="N235" i="1"/>
  <c r="H236" i="1"/>
  <c r="I236" i="1"/>
  <c r="J236" i="1"/>
  <c r="K236" i="1" s="1"/>
  <c r="L236" i="1"/>
  <c r="M236" i="1"/>
  <c r="N236" i="1" s="1"/>
  <c r="H237" i="1"/>
  <c r="I237" i="1"/>
  <c r="J237" i="1"/>
  <c r="K237" i="1" s="1"/>
  <c r="M237" i="1"/>
  <c r="L237" i="1" s="1"/>
  <c r="H238" i="1"/>
  <c r="I238" i="1"/>
  <c r="J238" i="1"/>
  <c r="K238" i="1" s="1"/>
  <c r="L238" i="1"/>
  <c r="M238" i="1"/>
  <c r="N238" i="1"/>
  <c r="H239" i="1"/>
  <c r="I239" i="1"/>
  <c r="J239" i="1"/>
  <c r="K239" i="1"/>
  <c r="L239" i="1"/>
  <c r="M239" i="1"/>
  <c r="N239" i="1" s="1"/>
  <c r="H240" i="1"/>
  <c r="I240" i="1"/>
  <c r="J240" i="1"/>
  <c r="K240" i="1"/>
  <c r="L240" i="1"/>
  <c r="M240" i="1"/>
  <c r="N240" i="1" s="1"/>
  <c r="H241" i="1"/>
  <c r="I241" i="1"/>
  <c r="J241" i="1"/>
  <c r="K241" i="1" s="1"/>
  <c r="M241" i="1"/>
  <c r="H242" i="1"/>
  <c r="I242" i="1"/>
  <c r="J242" i="1"/>
  <c r="K242" i="1" s="1"/>
  <c r="M242" i="1"/>
  <c r="L242" i="1" s="1"/>
  <c r="N242" i="1"/>
  <c r="H243" i="1"/>
  <c r="I243" i="1"/>
  <c r="J243" i="1"/>
  <c r="K243" i="1"/>
  <c r="L243" i="1"/>
  <c r="M243" i="1"/>
  <c r="N243" i="1"/>
  <c r="H244" i="1"/>
  <c r="I244" i="1"/>
  <c r="J244" i="1"/>
  <c r="K244" i="1" s="1"/>
  <c r="L244" i="1"/>
  <c r="M244" i="1"/>
  <c r="N244" i="1" s="1"/>
  <c r="H245" i="1"/>
  <c r="I245" i="1"/>
  <c r="J245" i="1"/>
  <c r="K245" i="1" s="1"/>
  <c r="M245" i="1"/>
  <c r="L245" i="1" s="1"/>
  <c r="H246" i="1"/>
  <c r="I246" i="1"/>
  <c r="J246" i="1"/>
  <c r="K246" i="1" s="1"/>
  <c r="L246" i="1"/>
  <c r="M246" i="1"/>
  <c r="N246" i="1"/>
  <c r="H247" i="1"/>
  <c r="I247" i="1"/>
  <c r="J247" i="1"/>
  <c r="K247" i="1"/>
  <c r="L247" i="1"/>
  <c r="M247" i="1"/>
  <c r="N247" i="1" s="1"/>
  <c r="H248" i="1"/>
  <c r="I248" i="1"/>
  <c r="J248" i="1"/>
  <c r="K248" i="1"/>
  <c r="L248" i="1"/>
  <c r="M248" i="1"/>
  <c r="N248" i="1" s="1"/>
  <c r="H249" i="1"/>
  <c r="I249" i="1"/>
  <c r="J249" i="1"/>
  <c r="K249" i="1" s="1"/>
  <c r="M249" i="1"/>
  <c r="H250" i="1"/>
  <c r="I250" i="1"/>
  <c r="J250" i="1"/>
  <c r="K250" i="1" s="1"/>
  <c r="M250" i="1"/>
  <c r="L250" i="1" s="1"/>
  <c r="N250" i="1"/>
  <c r="H251" i="1"/>
  <c r="I251" i="1"/>
  <c r="J251" i="1"/>
  <c r="K251" i="1"/>
  <c r="L251" i="1"/>
  <c r="M251" i="1"/>
  <c r="N251" i="1"/>
  <c r="H252" i="1"/>
  <c r="I252" i="1"/>
  <c r="J252" i="1"/>
  <c r="K252" i="1" s="1"/>
  <c r="L252" i="1"/>
  <c r="M252" i="1"/>
  <c r="N252" i="1" s="1"/>
  <c r="H253" i="1"/>
  <c r="I253" i="1"/>
  <c r="J253" i="1"/>
  <c r="K253" i="1" s="1"/>
  <c r="M253" i="1"/>
  <c r="L253" i="1" s="1"/>
  <c r="H254" i="1"/>
  <c r="I254" i="1"/>
  <c r="J254" i="1"/>
  <c r="K254" i="1" s="1"/>
  <c r="L254" i="1"/>
  <c r="M254" i="1"/>
  <c r="N254" i="1"/>
  <c r="H255" i="1"/>
  <c r="I255" i="1"/>
  <c r="J255" i="1"/>
  <c r="K255" i="1"/>
  <c r="L255" i="1"/>
  <c r="M255" i="1"/>
  <c r="N255" i="1" s="1"/>
  <c r="H256" i="1"/>
  <c r="I256" i="1"/>
  <c r="J256" i="1"/>
  <c r="K256" i="1"/>
  <c r="L256" i="1"/>
  <c r="M256" i="1"/>
  <c r="N256" i="1" s="1"/>
  <c r="H257" i="1"/>
  <c r="I257" i="1"/>
  <c r="J257" i="1"/>
  <c r="K257" i="1" s="1"/>
  <c r="M257" i="1"/>
  <c r="H258" i="1"/>
  <c r="I258" i="1"/>
  <c r="J258" i="1"/>
  <c r="K258" i="1" s="1"/>
  <c r="M258" i="1"/>
  <c r="L258" i="1" s="1"/>
  <c r="N258" i="1"/>
  <c r="H259" i="1"/>
  <c r="I259" i="1"/>
  <c r="J259" i="1"/>
  <c r="K259" i="1"/>
  <c r="L259" i="1"/>
  <c r="M259" i="1"/>
  <c r="N259" i="1"/>
  <c r="H260" i="1"/>
  <c r="I260" i="1"/>
  <c r="J260" i="1"/>
  <c r="K260" i="1" s="1"/>
  <c r="L260" i="1"/>
  <c r="M260" i="1"/>
  <c r="N260" i="1" s="1"/>
  <c r="H261" i="1"/>
  <c r="I261" i="1"/>
  <c r="J261" i="1"/>
  <c r="K261" i="1" s="1"/>
  <c r="M261" i="1"/>
  <c r="L261" i="1" s="1"/>
  <c r="H262" i="1"/>
  <c r="I262" i="1"/>
  <c r="J262" i="1"/>
  <c r="K262" i="1" s="1"/>
  <c r="L262" i="1"/>
  <c r="M262" i="1"/>
  <c r="N262" i="1"/>
  <c r="H263" i="1"/>
  <c r="I263" i="1"/>
  <c r="J263" i="1"/>
  <c r="K263" i="1"/>
  <c r="L263" i="1"/>
  <c r="M263" i="1"/>
  <c r="N263" i="1" s="1"/>
  <c r="H264" i="1"/>
  <c r="I264" i="1"/>
  <c r="J264" i="1"/>
  <c r="K264" i="1"/>
  <c r="L264" i="1"/>
  <c r="M264" i="1"/>
  <c r="N264" i="1" s="1"/>
  <c r="H265" i="1"/>
  <c r="I265" i="1"/>
  <c r="J265" i="1"/>
  <c r="K265" i="1" s="1"/>
  <c r="M265" i="1"/>
  <c r="H266" i="1"/>
  <c r="I266" i="1"/>
  <c r="J266" i="1"/>
  <c r="K266" i="1" s="1"/>
  <c r="M266" i="1"/>
  <c r="L266" i="1" s="1"/>
  <c r="N266" i="1"/>
  <c r="H267" i="1"/>
  <c r="I267" i="1"/>
  <c r="J267" i="1"/>
  <c r="K267" i="1"/>
  <c r="L267" i="1"/>
  <c r="M267" i="1"/>
  <c r="N267" i="1"/>
  <c r="H268" i="1"/>
  <c r="I268" i="1"/>
  <c r="J268" i="1"/>
  <c r="K268" i="1" s="1"/>
  <c r="L268" i="1"/>
  <c r="M268" i="1"/>
  <c r="N268" i="1" s="1"/>
  <c r="H269" i="1"/>
  <c r="I269" i="1"/>
  <c r="J269" i="1"/>
  <c r="K269" i="1" s="1"/>
  <c r="M269" i="1"/>
  <c r="L269" i="1" s="1"/>
  <c r="H270" i="1"/>
  <c r="I270" i="1"/>
  <c r="J270" i="1"/>
  <c r="K270" i="1" s="1"/>
  <c r="L270" i="1"/>
  <c r="M270" i="1"/>
  <c r="N270" i="1"/>
  <c r="H271" i="1"/>
  <c r="I271" i="1"/>
  <c r="J271" i="1"/>
  <c r="K271" i="1"/>
  <c r="L271" i="1"/>
  <c r="M271" i="1"/>
  <c r="N271" i="1" s="1"/>
  <c r="H272" i="1"/>
  <c r="I272" i="1"/>
  <c r="J272" i="1"/>
  <c r="K272" i="1"/>
  <c r="L272" i="1"/>
  <c r="M272" i="1"/>
  <c r="N272" i="1" s="1"/>
  <c r="H273" i="1"/>
  <c r="I273" i="1"/>
  <c r="J273" i="1"/>
  <c r="K273" i="1" s="1"/>
  <c r="M273" i="1"/>
  <c r="H274" i="1"/>
  <c r="I274" i="1"/>
  <c r="J274" i="1"/>
  <c r="K274" i="1" s="1"/>
  <c r="M274" i="1"/>
  <c r="L274" i="1" s="1"/>
  <c r="N274" i="1"/>
  <c r="H275" i="1"/>
  <c r="I275" i="1"/>
  <c r="J275" i="1"/>
  <c r="K275" i="1"/>
  <c r="L275" i="1"/>
  <c r="M275" i="1"/>
  <c r="N275" i="1"/>
  <c r="H276" i="1"/>
  <c r="I276" i="1"/>
  <c r="J276" i="1"/>
  <c r="K276" i="1" s="1"/>
  <c r="L276" i="1"/>
  <c r="M276" i="1"/>
  <c r="N276" i="1" s="1"/>
  <c r="H277" i="1"/>
  <c r="I277" i="1"/>
  <c r="J277" i="1"/>
  <c r="K277" i="1" s="1"/>
  <c r="M277" i="1"/>
  <c r="L277" i="1" s="1"/>
  <c r="H278" i="1"/>
  <c r="I278" i="1"/>
  <c r="J278" i="1"/>
  <c r="K278" i="1" s="1"/>
  <c r="L278" i="1"/>
  <c r="M278" i="1"/>
  <c r="N278" i="1"/>
  <c r="H279" i="1"/>
  <c r="I279" i="1"/>
  <c r="J279" i="1"/>
  <c r="K279" i="1"/>
  <c r="L279" i="1"/>
  <c r="M279" i="1"/>
  <c r="N279" i="1" s="1"/>
  <c r="H280" i="1"/>
  <c r="I280" i="1"/>
  <c r="J280" i="1"/>
  <c r="K280" i="1"/>
  <c r="L280" i="1"/>
  <c r="M280" i="1"/>
  <c r="N280" i="1" s="1"/>
  <c r="H281" i="1"/>
  <c r="I281" i="1"/>
  <c r="J281" i="1"/>
  <c r="K281" i="1" s="1"/>
  <c r="M281" i="1"/>
  <c r="H282" i="1"/>
  <c r="I282" i="1"/>
  <c r="J282" i="1"/>
  <c r="K282" i="1" s="1"/>
  <c r="M282" i="1"/>
  <c r="L282" i="1" s="1"/>
  <c r="N282" i="1"/>
  <c r="H283" i="1"/>
  <c r="I283" i="1"/>
  <c r="J283" i="1"/>
  <c r="K283" i="1"/>
  <c r="L283" i="1"/>
  <c r="M283" i="1"/>
  <c r="N283" i="1"/>
  <c r="H284" i="1"/>
  <c r="I284" i="1"/>
  <c r="J284" i="1"/>
  <c r="K284" i="1" s="1"/>
  <c r="L284" i="1"/>
  <c r="M284" i="1"/>
  <c r="N284" i="1" s="1"/>
  <c r="H285" i="1"/>
  <c r="I285" i="1"/>
  <c r="J285" i="1"/>
  <c r="K285" i="1" s="1"/>
  <c r="M285" i="1"/>
  <c r="L285" i="1" s="1"/>
  <c r="H286" i="1"/>
  <c r="I286" i="1"/>
  <c r="J286" i="1"/>
  <c r="K286" i="1" s="1"/>
  <c r="L286" i="1"/>
  <c r="M286" i="1"/>
  <c r="N286" i="1"/>
  <c r="H287" i="1"/>
  <c r="I287" i="1"/>
  <c r="J287" i="1"/>
  <c r="K287" i="1"/>
  <c r="L287" i="1"/>
  <c r="M287" i="1"/>
  <c r="N287" i="1" s="1"/>
  <c r="H288" i="1"/>
  <c r="I288" i="1"/>
  <c r="J288" i="1"/>
  <c r="K288" i="1"/>
  <c r="L288" i="1"/>
  <c r="M288" i="1"/>
  <c r="N288" i="1" s="1"/>
  <c r="H289" i="1"/>
  <c r="I289" i="1"/>
  <c r="J289" i="1"/>
  <c r="K289" i="1" s="1"/>
  <c r="M289" i="1"/>
  <c r="H290" i="1"/>
  <c r="I290" i="1"/>
  <c r="J290" i="1"/>
  <c r="K290" i="1" s="1"/>
  <c r="M290" i="1"/>
  <c r="L290" i="1" s="1"/>
  <c r="N290" i="1"/>
  <c r="H291" i="1"/>
  <c r="I291" i="1"/>
  <c r="J291" i="1"/>
  <c r="K291" i="1"/>
  <c r="L291" i="1"/>
  <c r="M291" i="1"/>
  <c r="N291" i="1"/>
  <c r="H292" i="1"/>
  <c r="I292" i="1"/>
  <c r="J292" i="1"/>
  <c r="K292" i="1" s="1"/>
  <c r="L292" i="1"/>
  <c r="M292" i="1"/>
  <c r="N292" i="1" s="1"/>
  <c r="H293" i="1"/>
  <c r="I293" i="1"/>
  <c r="J293" i="1"/>
  <c r="K293" i="1" s="1"/>
  <c r="M293" i="1"/>
  <c r="L293" i="1" s="1"/>
  <c r="H294" i="1"/>
  <c r="I294" i="1"/>
  <c r="J294" i="1"/>
  <c r="K294" i="1" s="1"/>
  <c r="L294" i="1"/>
  <c r="M294" i="1"/>
  <c r="N294" i="1"/>
  <c r="H295" i="1"/>
  <c r="I295" i="1"/>
  <c r="J295" i="1"/>
  <c r="K295" i="1"/>
  <c r="L295" i="1"/>
  <c r="M295" i="1"/>
  <c r="N295" i="1" s="1"/>
  <c r="H296" i="1"/>
  <c r="I296" i="1"/>
  <c r="J296" i="1"/>
  <c r="K296" i="1"/>
  <c r="L296" i="1"/>
  <c r="M296" i="1"/>
  <c r="N296" i="1" s="1"/>
  <c r="H297" i="1"/>
  <c r="I297" i="1"/>
  <c r="J297" i="1"/>
  <c r="K297" i="1" s="1"/>
  <c r="M297" i="1"/>
  <c r="H298" i="1"/>
  <c r="I298" i="1"/>
  <c r="J298" i="1"/>
  <c r="K298" i="1" s="1"/>
  <c r="M298" i="1"/>
  <c r="L298" i="1" s="1"/>
  <c r="N298" i="1"/>
  <c r="H299" i="1"/>
  <c r="I299" i="1"/>
  <c r="J299" i="1"/>
  <c r="K299" i="1"/>
  <c r="L299" i="1"/>
  <c r="M299" i="1"/>
  <c r="N299" i="1"/>
  <c r="H300" i="1"/>
  <c r="I300" i="1"/>
  <c r="J300" i="1"/>
  <c r="K300" i="1" s="1"/>
  <c r="L300" i="1"/>
  <c r="M300" i="1"/>
  <c r="N300" i="1" s="1"/>
  <c r="H301" i="1"/>
  <c r="I301" i="1"/>
  <c r="J301" i="1"/>
  <c r="K301" i="1" s="1"/>
  <c r="M301" i="1"/>
  <c r="L301" i="1" s="1"/>
  <c r="H302" i="1"/>
  <c r="I302" i="1"/>
  <c r="J302" i="1"/>
  <c r="K302" i="1" s="1"/>
  <c r="L302" i="1"/>
  <c r="M302" i="1"/>
  <c r="N302" i="1"/>
  <c r="H303" i="1"/>
  <c r="I303" i="1"/>
  <c r="J303" i="1"/>
  <c r="K303" i="1"/>
  <c r="L303" i="1"/>
  <c r="M303" i="1"/>
  <c r="N303" i="1" s="1"/>
  <c r="H304" i="1"/>
  <c r="I304" i="1"/>
  <c r="J304" i="1"/>
  <c r="K304" i="1"/>
  <c r="L304" i="1"/>
  <c r="M304" i="1"/>
  <c r="N304" i="1" s="1"/>
  <c r="H305" i="1"/>
  <c r="I305" i="1"/>
  <c r="J305" i="1"/>
  <c r="K305" i="1" s="1"/>
  <c r="M305" i="1"/>
  <c r="H306" i="1"/>
  <c r="I306" i="1"/>
  <c r="J306" i="1"/>
  <c r="K306" i="1" s="1"/>
  <c r="M306" i="1"/>
  <c r="L306" i="1" s="1"/>
  <c r="N306" i="1"/>
  <c r="H307" i="1"/>
  <c r="I307" i="1"/>
  <c r="J307" i="1"/>
  <c r="K307" i="1"/>
  <c r="L307" i="1"/>
  <c r="M307" i="1"/>
  <c r="N307" i="1"/>
  <c r="H308" i="1"/>
  <c r="I308" i="1"/>
  <c r="J308" i="1"/>
  <c r="K308" i="1" s="1"/>
  <c r="L308" i="1"/>
  <c r="M308" i="1"/>
  <c r="N308" i="1" s="1"/>
  <c r="H309" i="1"/>
  <c r="I309" i="1"/>
  <c r="J309" i="1"/>
  <c r="K309" i="1" s="1"/>
  <c r="M309" i="1"/>
  <c r="L309" i="1" s="1"/>
  <c r="H310" i="1"/>
  <c r="I310" i="1"/>
  <c r="J310" i="1"/>
  <c r="K310" i="1" s="1"/>
  <c r="L310" i="1"/>
  <c r="M310" i="1"/>
  <c r="N310" i="1"/>
  <c r="H311" i="1"/>
  <c r="I311" i="1"/>
  <c r="J311" i="1"/>
  <c r="K311" i="1"/>
  <c r="L311" i="1"/>
  <c r="M311" i="1"/>
  <c r="N311" i="1" s="1"/>
  <c r="H312" i="1"/>
  <c r="I312" i="1"/>
  <c r="J312" i="1"/>
  <c r="K312" i="1"/>
  <c r="L312" i="1"/>
  <c r="M312" i="1"/>
  <c r="N312" i="1" s="1"/>
  <c r="H313" i="1"/>
  <c r="I313" i="1"/>
  <c r="J313" i="1"/>
  <c r="K313" i="1" s="1"/>
  <c r="M313" i="1"/>
  <c r="H314" i="1"/>
  <c r="I314" i="1"/>
  <c r="J314" i="1"/>
  <c r="K314" i="1" s="1"/>
  <c r="M314" i="1"/>
  <c r="L314" i="1" s="1"/>
  <c r="N314" i="1"/>
  <c r="H315" i="1"/>
  <c r="I315" i="1"/>
  <c r="J315" i="1"/>
  <c r="K315" i="1"/>
  <c r="L315" i="1"/>
  <c r="M315" i="1"/>
  <c r="N315" i="1"/>
  <c r="H316" i="1"/>
  <c r="I316" i="1"/>
  <c r="J316" i="1"/>
  <c r="K316" i="1" s="1"/>
  <c r="L316" i="1"/>
  <c r="M316" i="1"/>
  <c r="N316" i="1" s="1"/>
  <c r="H317" i="1"/>
  <c r="I317" i="1"/>
  <c r="J317" i="1"/>
  <c r="K317" i="1" s="1"/>
  <c r="M317" i="1"/>
  <c r="L317" i="1" s="1"/>
  <c r="H318" i="1"/>
  <c r="I318" i="1"/>
  <c r="J318" i="1"/>
  <c r="K318" i="1" s="1"/>
  <c r="L318" i="1"/>
  <c r="M318" i="1"/>
  <c r="N318" i="1"/>
  <c r="H319" i="1"/>
  <c r="I319" i="1"/>
  <c r="J319" i="1"/>
  <c r="K319" i="1"/>
  <c r="L319" i="1"/>
  <c r="M319" i="1"/>
  <c r="N319" i="1" s="1"/>
  <c r="H320" i="1"/>
  <c r="I320" i="1"/>
  <c r="J320" i="1"/>
  <c r="K320" i="1"/>
  <c r="L320" i="1"/>
  <c r="M320" i="1"/>
  <c r="N320" i="1" s="1"/>
  <c r="H321" i="1"/>
  <c r="I321" i="1"/>
  <c r="J321" i="1"/>
  <c r="K321" i="1" s="1"/>
  <c r="M321" i="1"/>
  <c r="H322" i="1"/>
  <c r="I322" i="1"/>
  <c r="J322" i="1"/>
  <c r="K322" i="1" s="1"/>
  <c r="M322" i="1"/>
  <c r="L322" i="1" s="1"/>
  <c r="N322" i="1"/>
  <c r="H323" i="1"/>
  <c r="I323" i="1"/>
  <c r="J323" i="1"/>
  <c r="K323" i="1"/>
  <c r="L323" i="1"/>
  <c r="M323" i="1"/>
  <c r="N323" i="1"/>
  <c r="H324" i="1"/>
  <c r="I324" i="1"/>
  <c r="J324" i="1"/>
  <c r="K324" i="1" s="1"/>
  <c r="L324" i="1"/>
  <c r="M324" i="1"/>
  <c r="N324" i="1" s="1"/>
  <c r="H325" i="1"/>
  <c r="I325" i="1"/>
  <c r="J325" i="1"/>
  <c r="K325" i="1" s="1"/>
  <c r="M325" i="1"/>
  <c r="L325" i="1" s="1"/>
  <c r="H326" i="1"/>
  <c r="I326" i="1"/>
  <c r="J326" i="1"/>
  <c r="K326" i="1" s="1"/>
  <c r="L326" i="1"/>
  <c r="M326" i="1"/>
  <c r="N326" i="1"/>
  <c r="H327" i="1"/>
  <c r="I327" i="1"/>
  <c r="J327" i="1"/>
  <c r="K327" i="1"/>
  <c r="L327" i="1"/>
  <c r="M327" i="1"/>
  <c r="N327" i="1" s="1"/>
  <c r="H328" i="1"/>
  <c r="I328" i="1"/>
  <c r="J328" i="1"/>
  <c r="K328" i="1"/>
  <c r="L328" i="1"/>
  <c r="M328" i="1"/>
  <c r="N328" i="1" s="1"/>
  <c r="H329" i="1"/>
  <c r="I329" i="1"/>
  <c r="J329" i="1"/>
  <c r="K329" i="1" s="1"/>
  <c r="M329" i="1"/>
  <c r="H330" i="1"/>
  <c r="I330" i="1"/>
  <c r="J330" i="1"/>
  <c r="K330" i="1" s="1"/>
  <c r="M330" i="1"/>
  <c r="L330" i="1" s="1"/>
  <c r="N330" i="1"/>
  <c r="H331" i="1"/>
  <c r="I331" i="1"/>
  <c r="J331" i="1"/>
  <c r="K331" i="1"/>
  <c r="L331" i="1"/>
  <c r="M331" i="1"/>
  <c r="N331" i="1"/>
  <c r="H332" i="1"/>
  <c r="I332" i="1"/>
  <c r="J332" i="1"/>
  <c r="K332" i="1" s="1"/>
  <c r="L332" i="1"/>
  <c r="M332" i="1"/>
  <c r="N332" i="1" s="1"/>
  <c r="H333" i="1"/>
  <c r="I333" i="1"/>
  <c r="J333" i="1"/>
  <c r="K333" i="1" s="1"/>
  <c r="M333" i="1"/>
  <c r="L333" i="1" s="1"/>
  <c r="H334" i="1"/>
  <c r="I334" i="1"/>
  <c r="J334" i="1"/>
  <c r="K334" i="1" s="1"/>
  <c r="L334" i="1"/>
  <c r="M334" i="1"/>
  <c r="N334" i="1"/>
  <c r="H335" i="1"/>
  <c r="I335" i="1"/>
  <c r="J335" i="1"/>
  <c r="K335" i="1"/>
  <c r="L335" i="1"/>
  <c r="M335" i="1"/>
  <c r="N335" i="1" s="1"/>
  <c r="H336" i="1"/>
  <c r="I336" i="1"/>
  <c r="J336" i="1"/>
  <c r="K336" i="1"/>
  <c r="L336" i="1"/>
  <c r="M336" i="1"/>
  <c r="N336" i="1" s="1"/>
  <c r="H337" i="1"/>
  <c r="I337" i="1"/>
  <c r="J337" i="1"/>
  <c r="K337" i="1" s="1"/>
  <c r="M337" i="1"/>
  <c r="H338" i="1"/>
  <c r="I338" i="1"/>
  <c r="J338" i="1"/>
  <c r="K338" i="1" s="1"/>
  <c r="M338" i="1"/>
  <c r="L338" i="1" s="1"/>
  <c r="N338" i="1"/>
  <c r="H339" i="1"/>
  <c r="I339" i="1"/>
  <c r="J339" i="1"/>
  <c r="K339" i="1"/>
  <c r="L339" i="1"/>
  <c r="M339" i="1"/>
  <c r="N339" i="1"/>
  <c r="H340" i="1"/>
  <c r="I340" i="1"/>
  <c r="J340" i="1"/>
  <c r="K340" i="1" s="1"/>
  <c r="L340" i="1"/>
  <c r="M340" i="1"/>
  <c r="N340" i="1" s="1"/>
  <c r="H341" i="1"/>
  <c r="I341" i="1"/>
  <c r="J341" i="1"/>
  <c r="K341" i="1" s="1"/>
  <c r="M341" i="1"/>
  <c r="L341" i="1" s="1"/>
  <c r="H342" i="1"/>
  <c r="I342" i="1"/>
  <c r="J342" i="1"/>
  <c r="K342" i="1" s="1"/>
  <c r="L342" i="1"/>
  <c r="M342" i="1"/>
  <c r="N342" i="1"/>
  <c r="H343" i="1"/>
  <c r="I343" i="1"/>
  <c r="J343" i="1"/>
  <c r="K343" i="1"/>
  <c r="L343" i="1"/>
  <c r="M343" i="1"/>
  <c r="N343" i="1" s="1"/>
  <c r="H344" i="1"/>
  <c r="I344" i="1"/>
  <c r="J344" i="1"/>
  <c r="K344" i="1"/>
  <c r="L344" i="1"/>
  <c r="M344" i="1"/>
  <c r="N344" i="1" s="1"/>
  <c r="H345" i="1"/>
  <c r="I345" i="1"/>
  <c r="J345" i="1"/>
  <c r="K345" i="1" s="1"/>
  <c r="M345" i="1"/>
  <c r="H346" i="1"/>
  <c r="I346" i="1"/>
  <c r="J346" i="1"/>
  <c r="K346" i="1" s="1"/>
  <c r="M346" i="1"/>
  <c r="L346" i="1" s="1"/>
  <c r="N346" i="1"/>
  <c r="H347" i="1"/>
  <c r="I347" i="1"/>
  <c r="J347" i="1"/>
  <c r="K347" i="1"/>
  <c r="L347" i="1"/>
  <c r="M347" i="1"/>
  <c r="N347" i="1"/>
  <c r="H348" i="1"/>
  <c r="I348" i="1"/>
  <c r="J348" i="1"/>
  <c r="K348" i="1" s="1"/>
  <c r="L348" i="1"/>
  <c r="M348" i="1"/>
  <c r="N348" i="1" s="1"/>
  <c r="H349" i="1"/>
  <c r="I349" i="1"/>
  <c r="J349" i="1"/>
  <c r="K349" i="1" s="1"/>
  <c r="M349" i="1"/>
  <c r="L349" i="1" s="1"/>
  <c r="H350" i="1"/>
  <c r="I350" i="1"/>
  <c r="J350" i="1"/>
  <c r="K350" i="1" s="1"/>
  <c r="L350" i="1"/>
  <c r="M350" i="1"/>
  <c r="N350" i="1"/>
  <c r="H351" i="1"/>
  <c r="I351" i="1"/>
  <c r="J351" i="1"/>
  <c r="K351" i="1"/>
  <c r="L351" i="1"/>
  <c r="M351" i="1"/>
  <c r="N351" i="1" s="1"/>
  <c r="H352" i="1"/>
  <c r="I352" i="1"/>
  <c r="J352" i="1"/>
  <c r="K352" i="1"/>
  <c r="L352" i="1"/>
  <c r="M352" i="1"/>
  <c r="N352" i="1" s="1"/>
  <c r="H353" i="1"/>
  <c r="I353" i="1"/>
  <c r="J353" i="1"/>
  <c r="K353" i="1" s="1"/>
  <c r="M353" i="1"/>
  <c r="H354" i="1"/>
  <c r="I354" i="1"/>
  <c r="J354" i="1"/>
  <c r="K354" i="1" s="1"/>
  <c r="M354" i="1"/>
  <c r="L354" i="1" s="1"/>
  <c r="N354" i="1"/>
  <c r="H355" i="1"/>
  <c r="I355" i="1"/>
  <c r="J355" i="1"/>
  <c r="K355" i="1"/>
  <c r="L355" i="1"/>
  <c r="M355" i="1"/>
  <c r="N355" i="1"/>
  <c r="H356" i="1"/>
  <c r="I356" i="1"/>
  <c r="J356" i="1"/>
  <c r="K356" i="1" s="1"/>
  <c r="L356" i="1"/>
  <c r="M356" i="1"/>
  <c r="N356" i="1" s="1"/>
  <c r="H357" i="1"/>
  <c r="I357" i="1"/>
  <c r="J357" i="1"/>
  <c r="K357" i="1" s="1"/>
  <c r="M357" i="1"/>
  <c r="L357" i="1" s="1"/>
  <c r="H358" i="1"/>
  <c r="I358" i="1"/>
  <c r="J358" i="1"/>
  <c r="K358" i="1" s="1"/>
  <c r="L358" i="1"/>
  <c r="M358" i="1"/>
  <c r="N358" i="1"/>
  <c r="H359" i="1"/>
  <c r="I359" i="1"/>
  <c r="J359" i="1"/>
  <c r="K359" i="1"/>
  <c r="L359" i="1"/>
  <c r="M359" i="1"/>
  <c r="N359" i="1" s="1"/>
  <c r="H360" i="1"/>
  <c r="I360" i="1"/>
  <c r="J360" i="1"/>
  <c r="K360" i="1"/>
  <c r="L360" i="1"/>
  <c r="M360" i="1"/>
  <c r="N360" i="1" s="1"/>
  <c r="H361" i="1"/>
  <c r="I361" i="1"/>
  <c r="J361" i="1"/>
  <c r="K361" i="1" s="1"/>
  <c r="M361" i="1"/>
  <c r="H362" i="1"/>
  <c r="I362" i="1"/>
  <c r="J362" i="1"/>
  <c r="K362" i="1" s="1"/>
  <c r="M362" i="1"/>
  <c r="L362" i="1" s="1"/>
  <c r="N362" i="1"/>
  <c r="H363" i="1"/>
  <c r="I363" i="1"/>
  <c r="J363" i="1"/>
  <c r="K363" i="1"/>
  <c r="L363" i="1"/>
  <c r="M363" i="1"/>
  <c r="N363" i="1"/>
  <c r="H364" i="1"/>
  <c r="I364" i="1"/>
  <c r="J364" i="1"/>
  <c r="K364" i="1" s="1"/>
  <c r="L364" i="1"/>
  <c r="M364" i="1"/>
  <c r="N364" i="1" s="1"/>
  <c r="H365" i="1"/>
  <c r="I365" i="1"/>
  <c r="J365" i="1"/>
  <c r="K365" i="1" s="1"/>
  <c r="M365" i="1"/>
  <c r="L365" i="1" s="1"/>
  <c r="H366" i="1"/>
  <c r="I366" i="1"/>
  <c r="J366" i="1"/>
  <c r="K366" i="1" s="1"/>
  <c r="L366" i="1"/>
  <c r="M366" i="1"/>
  <c r="N366" i="1"/>
  <c r="H367" i="1"/>
  <c r="I367" i="1"/>
  <c r="J367" i="1"/>
  <c r="K367" i="1"/>
  <c r="L367" i="1"/>
  <c r="M367" i="1"/>
  <c r="N367" i="1" s="1"/>
  <c r="H368" i="1"/>
  <c r="I368" i="1"/>
  <c r="J368" i="1"/>
  <c r="K368" i="1"/>
  <c r="L368" i="1"/>
  <c r="M368" i="1"/>
  <c r="N368" i="1" s="1"/>
  <c r="H369" i="1"/>
  <c r="I369" i="1"/>
  <c r="J369" i="1"/>
  <c r="K369" i="1" s="1"/>
  <c r="M369" i="1"/>
  <c r="H370" i="1"/>
  <c r="I370" i="1"/>
  <c r="J370" i="1"/>
  <c r="K370" i="1" s="1"/>
  <c r="M370" i="1"/>
  <c r="L370" i="1" s="1"/>
  <c r="N370" i="1"/>
  <c r="H371" i="1"/>
  <c r="I371" i="1"/>
  <c r="J371" i="1"/>
  <c r="K371" i="1"/>
  <c r="L371" i="1"/>
  <c r="M371" i="1"/>
  <c r="N371" i="1"/>
  <c r="H372" i="1"/>
  <c r="I372" i="1"/>
  <c r="J372" i="1"/>
  <c r="K372" i="1" s="1"/>
  <c r="L372" i="1"/>
  <c r="M372" i="1"/>
  <c r="N372" i="1" s="1"/>
  <c r="H373" i="1"/>
  <c r="I373" i="1"/>
  <c r="J373" i="1"/>
  <c r="K373" i="1" s="1"/>
  <c r="M373" i="1"/>
  <c r="H374" i="1"/>
  <c r="I374" i="1"/>
  <c r="J374" i="1"/>
  <c r="K374" i="1" s="1"/>
  <c r="L374" i="1"/>
  <c r="M374" i="1"/>
  <c r="N374" i="1"/>
  <c r="H375" i="1"/>
  <c r="I375" i="1"/>
  <c r="J375" i="1"/>
  <c r="K375" i="1"/>
  <c r="L375" i="1"/>
  <c r="M375" i="1"/>
  <c r="N375" i="1" s="1"/>
  <c r="H376" i="1"/>
  <c r="I376" i="1"/>
  <c r="J376" i="1"/>
  <c r="K376" i="1"/>
  <c r="L376" i="1"/>
  <c r="M376" i="1"/>
  <c r="N376" i="1" s="1"/>
  <c r="H377" i="1"/>
  <c r="I377" i="1"/>
  <c r="J377" i="1"/>
  <c r="K377" i="1" s="1"/>
  <c r="M377" i="1"/>
  <c r="H378" i="1"/>
  <c r="I378" i="1"/>
  <c r="J378" i="1"/>
  <c r="K378" i="1" s="1"/>
  <c r="M378" i="1"/>
  <c r="L378" i="1" s="1"/>
  <c r="N378" i="1"/>
  <c r="H379" i="1"/>
  <c r="I379" i="1"/>
  <c r="J379" i="1"/>
  <c r="K379" i="1"/>
  <c r="L379" i="1"/>
  <c r="M379" i="1"/>
  <c r="N379" i="1"/>
  <c r="H380" i="1"/>
  <c r="I380" i="1"/>
  <c r="J380" i="1"/>
  <c r="K380" i="1" s="1"/>
  <c r="L380" i="1"/>
  <c r="M380" i="1"/>
  <c r="N380" i="1" s="1"/>
  <c r="H381" i="1"/>
  <c r="I381" i="1"/>
  <c r="J381" i="1"/>
  <c r="K381" i="1" s="1"/>
  <c r="M381" i="1"/>
  <c r="H382" i="1"/>
  <c r="I382" i="1"/>
  <c r="J382" i="1"/>
  <c r="K382" i="1" s="1"/>
  <c r="L382" i="1"/>
  <c r="M382" i="1"/>
  <c r="N382" i="1"/>
  <c r="H383" i="1"/>
  <c r="I383" i="1"/>
  <c r="J383" i="1"/>
  <c r="K383" i="1"/>
  <c r="L383" i="1"/>
  <c r="M383" i="1"/>
  <c r="N383" i="1" s="1"/>
  <c r="H384" i="1"/>
  <c r="I384" i="1"/>
  <c r="J384" i="1"/>
  <c r="K384" i="1"/>
  <c r="L384" i="1"/>
  <c r="M384" i="1"/>
  <c r="N384" i="1" s="1"/>
  <c r="H385" i="1"/>
  <c r="I385" i="1"/>
  <c r="J385" i="1"/>
  <c r="K385" i="1" s="1"/>
  <c r="M385" i="1"/>
  <c r="L385" i="1" s="1"/>
  <c r="N385" i="1"/>
  <c r="H386" i="1"/>
  <c r="I386" i="1"/>
  <c r="J386" i="1"/>
  <c r="K386" i="1" s="1"/>
  <c r="M386" i="1"/>
  <c r="L386" i="1" s="1"/>
  <c r="N386" i="1"/>
  <c r="H387" i="1"/>
  <c r="I387" i="1"/>
  <c r="J387" i="1"/>
  <c r="K387" i="1"/>
  <c r="L387" i="1"/>
  <c r="M387" i="1"/>
  <c r="N387" i="1"/>
  <c r="H388" i="1"/>
  <c r="I388" i="1"/>
  <c r="J388" i="1"/>
  <c r="K388" i="1" s="1"/>
  <c r="M388" i="1"/>
  <c r="N388" i="1" s="1"/>
  <c r="H389" i="1"/>
  <c r="I389" i="1"/>
  <c r="J389" i="1"/>
  <c r="K389" i="1" s="1"/>
  <c r="M389" i="1"/>
  <c r="L389" i="1" s="1"/>
  <c r="H390" i="1"/>
  <c r="I390" i="1"/>
  <c r="J390" i="1"/>
  <c r="K390" i="1" s="1"/>
  <c r="L390" i="1"/>
  <c r="M390" i="1"/>
  <c r="N390" i="1"/>
  <c r="H391" i="1"/>
  <c r="I391" i="1"/>
  <c r="J391" i="1"/>
  <c r="K391" i="1"/>
  <c r="L391" i="1"/>
  <c r="M391" i="1"/>
  <c r="N391" i="1" s="1"/>
  <c r="H392" i="1"/>
  <c r="I392" i="1"/>
  <c r="J392" i="1"/>
  <c r="K392" i="1"/>
  <c r="M392" i="1"/>
  <c r="N392" i="1" s="1"/>
  <c r="H393" i="1"/>
  <c r="I393" i="1"/>
  <c r="J393" i="1"/>
  <c r="K393" i="1" s="1"/>
  <c r="L393" i="1"/>
  <c r="M393" i="1"/>
  <c r="N393" i="1"/>
  <c r="H394" i="1"/>
  <c r="I394" i="1"/>
  <c r="J394" i="1"/>
  <c r="K394" i="1" s="1"/>
  <c r="M394" i="1"/>
  <c r="L394" i="1" s="1"/>
  <c r="N394" i="1"/>
  <c r="H395" i="1"/>
  <c r="I395" i="1"/>
  <c r="J395" i="1"/>
  <c r="K395" i="1"/>
  <c r="L395" i="1"/>
  <c r="M395" i="1"/>
  <c r="N395" i="1"/>
  <c r="H396" i="1"/>
  <c r="I396" i="1"/>
  <c r="J396" i="1"/>
  <c r="K396" i="1" s="1"/>
  <c r="M396" i="1"/>
  <c r="N396" i="1" s="1"/>
  <c r="H397" i="1"/>
  <c r="I397" i="1"/>
  <c r="J397" i="1"/>
  <c r="K397" i="1"/>
  <c r="M397" i="1"/>
  <c r="L397" i="1" s="1"/>
  <c r="N397" i="1"/>
  <c r="H398" i="1"/>
  <c r="I398" i="1"/>
  <c r="J398" i="1"/>
  <c r="K398" i="1" s="1"/>
  <c r="L398" i="1"/>
  <c r="M398" i="1"/>
  <c r="N398" i="1"/>
  <c r="H399" i="1"/>
  <c r="I399" i="1"/>
  <c r="J399" i="1"/>
  <c r="K399" i="1" s="1"/>
  <c r="L399" i="1"/>
  <c r="M399" i="1"/>
  <c r="N399" i="1" s="1"/>
  <c r="H400" i="1"/>
  <c r="I400" i="1"/>
  <c r="J400" i="1"/>
  <c r="K400" i="1"/>
  <c r="L400" i="1"/>
  <c r="M400" i="1"/>
  <c r="N400" i="1" s="1"/>
  <c r="H401" i="1"/>
  <c r="I401" i="1"/>
  <c r="J401" i="1"/>
  <c r="K401" i="1" s="1"/>
  <c r="L401" i="1"/>
  <c r="M401" i="1"/>
  <c r="N401" i="1"/>
  <c r="H402" i="1"/>
  <c r="I402" i="1"/>
  <c r="J402" i="1"/>
  <c r="K402" i="1"/>
  <c r="M402" i="1"/>
  <c r="L402" i="1" s="1"/>
  <c r="N402" i="1"/>
  <c r="H403" i="1"/>
  <c r="I403" i="1"/>
  <c r="J403" i="1"/>
  <c r="K403" i="1"/>
  <c r="L403" i="1"/>
  <c r="M403" i="1"/>
  <c r="N403" i="1"/>
  <c r="H404" i="1"/>
  <c r="I404" i="1"/>
  <c r="J404" i="1"/>
  <c r="K404" i="1" s="1"/>
  <c r="L404" i="1"/>
  <c r="M404" i="1"/>
  <c r="N404" i="1" s="1"/>
  <c r="H405" i="1"/>
  <c r="I405" i="1"/>
  <c r="J405" i="1"/>
  <c r="K405" i="1"/>
  <c r="M405" i="1"/>
  <c r="L405" i="1" s="1"/>
  <c r="N405" i="1"/>
  <c r="H406" i="1"/>
  <c r="I406" i="1"/>
  <c r="J406" i="1"/>
  <c r="K406" i="1"/>
  <c r="L406" i="1"/>
  <c r="M406" i="1"/>
  <c r="N406" i="1"/>
  <c r="H407" i="1"/>
  <c r="I407" i="1"/>
  <c r="J407" i="1"/>
  <c r="K407" i="1" s="1"/>
  <c r="L407" i="1"/>
  <c r="M407" i="1"/>
  <c r="N407" i="1" s="1"/>
  <c r="H408" i="1"/>
  <c r="I408" i="1"/>
  <c r="J408" i="1"/>
  <c r="K408" i="1" s="1"/>
  <c r="L408" i="1"/>
  <c r="M408" i="1"/>
  <c r="N408" i="1"/>
  <c r="H409" i="1"/>
  <c r="I409" i="1"/>
  <c r="J409" i="1"/>
  <c r="K409" i="1"/>
  <c r="L409" i="1"/>
  <c r="M409" i="1"/>
  <c r="N409" i="1" s="1"/>
  <c r="H410" i="1"/>
  <c r="I410" i="1"/>
  <c r="J410" i="1"/>
  <c r="K410" i="1" s="1"/>
  <c r="L410" i="1"/>
  <c r="M410" i="1"/>
  <c r="N410" i="1" s="1"/>
  <c r="H411" i="1"/>
  <c r="I411" i="1"/>
  <c r="J411" i="1"/>
  <c r="K411" i="1"/>
  <c r="M411" i="1"/>
  <c r="N411" i="1" s="1"/>
  <c r="H412" i="1"/>
  <c r="I412" i="1"/>
  <c r="J412" i="1"/>
  <c r="K412" i="1" s="1"/>
  <c r="M412" i="1"/>
  <c r="L412" i="1" s="1"/>
  <c r="H413" i="1"/>
  <c r="I413" i="1"/>
  <c r="J413" i="1"/>
  <c r="K413" i="1" s="1"/>
  <c r="M413" i="1"/>
  <c r="L413" i="1" s="1"/>
  <c r="H414" i="1"/>
  <c r="I414" i="1"/>
  <c r="J414" i="1"/>
  <c r="K414" i="1" s="1"/>
  <c r="L414" i="1"/>
  <c r="M414" i="1"/>
  <c r="N414" i="1"/>
  <c r="H415" i="1"/>
  <c r="I415" i="1"/>
  <c r="J415" i="1"/>
  <c r="K415" i="1"/>
  <c r="L415" i="1"/>
  <c r="M415" i="1"/>
  <c r="N415" i="1" s="1"/>
  <c r="H416" i="1"/>
  <c r="I416" i="1"/>
  <c r="J416" i="1"/>
  <c r="K416" i="1"/>
  <c r="M416" i="1"/>
  <c r="N416" i="1" s="1"/>
  <c r="H417" i="1"/>
  <c r="I417" i="1"/>
  <c r="J417" i="1"/>
  <c r="K417" i="1" s="1"/>
  <c r="L417" i="1"/>
  <c r="M417" i="1"/>
  <c r="N417" i="1"/>
  <c r="H418" i="1"/>
  <c r="I418" i="1"/>
  <c r="J418" i="1"/>
  <c r="K418" i="1"/>
  <c r="M418" i="1"/>
  <c r="L418" i="1" s="1"/>
  <c r="H419" i="1"/>
  <c r="I419" i="1"/>
  <c r="J419" i="1"/>
  <c r="K419" i="1"/>
  <c r="L419" i="1"/>
  <c r="M419" i="1"/>
  <c r="N419" i="1"/>
  <c r="H420" i="1"/>
  <c r="I420" i="1"/>
  <c r="J420" i="1"/>
  <c r="K420" i="1" s="1"/>
  <c r="L420" i="1"/>
  <c r="M420" i="1"/>
  <c r="N420" i="1"/>
  <c r="H421" i="1"/>
  <c r="I421" i="1"/>
  <c r="J421" i="1"/>
  <c r="K421" i="1"/>
  <c r="M421" i="1"/>
  <c r="L421" i="1" s="1"/>
  <c r="H422" i="1"/>
  <c r="I422" i="1"/>
  <c r="J422" i="1"/>
  <c r="K422" i="1"/>
  <c r="L422" i="1"/>
  <c r="M422" i="1"/>
  <c r="N422" i="1"/>
  <c r="H423" i="1"/>
  <c r="I423" i="1"/>
  <c r="J423" i="1"/>
  <c r="K423" i="1" s="1"/>
  <c r="L423" i="1"/>
  <c r="M423" i="1"/>
  <c r="N423" i="1" s="1"/>
  <c r="H424" i="1"/>
  <c r="I424" i="1"/>
  <c r="J424" i="1"/>
  <c r="K424" i="1" s="1"/>
  <c r="L424" i="1"/>
  <c r="M424" i="1"/>
  <c r="N424" i="1"/>
  <c r="H425" i="1"/>
  <c r="I425" i="1"/>
  <c r="J425" i="1"/>
  <c r="K425" i="1" s="1"/>
  <c r="M425" i="1"/>
  <c r="L425" i="1" s="1"/>
  <c r="H426" i="1"/>
  <c r="I426" i="1"/>
  <c r="J426" i="1"/>
  <c r="K426" i="1" s="1"/>
  <c r="L426" i="1"/>
  <c r="M426" i="1"/>
  <c r="N426" i="1"/>
  <c r="H427" i="1"/>
  <c r="I427" i="1"/>
  <c r="J427" i="1"/>
  <c r="K427" i="1"/>
  <c r="L427" i="1"/>
  <c r="M427" i="1"/>
  <c r="N427" i="1" s="1"/>
  <c r="H428" i="1"/>
  <c r="I428" i="1"/>
  <c r="J428" i="1"/>
  <c r="K428" i="1" s="1"/>
  <c r="M428" i="1"/>
  <c r="N428" i="1" s="1"/>
  <c r="H429" i="1"/>
  <c r="I429" i="1"/>
  <c r="J429" i="1"/>
  <c r="K429" i="1" s="1"/>
  <c r="M429" i="1"/>
  <c r="L429" i="1" s="1"/>
  <c r="H430" i="1"/>
  <c r="I430" i="1"/>
  <c r="J430" i="1"/>
  <c r="K430" i="1" s="1"/>
  <c r="L430" i="1"/>
  <c r="M430" i="1"/>
  <c r="N430" i="1"/>
  <c r="H431" i="1"/>
  <c r="I431" i="1"/>
  <c r="J431" i="1"/>
  <c r="K431" i="1" s="1"/>
  <c r="M431" i="1"/>
  <c r="N431" i="1" s="1"/>
  <c r="H432" i="1"/>
  <c r="I432" i="1"/>
  <c r="J432" i="1"/>
  <c r="K432" i="1"/>
  <c r="L432" i="1"/>
  <c r="M432" i="1"/>
  <c r="N432" i="1" s="1"/>
  <c r="H433" i="1"/>
  <c r="I433" i="1"/>
  <c r="J433" i="1"/>
  <c r="K433" i="1" s="1"/>
  <c r="L433" i="1"/>
  <c r="M433" i="1"/>
  <c r="N433" i="1" s="1"/>
  <c r="H434" i="1"/>
  <c r="I434" i="1"/>
  <c r="J434" i="1"/>
  <c r="K434" i="1"/>
  <c r="M434" i="1"/>
  <c r="N434" i="1" s="1"/>
  <c r="H435" i="1"/>
  <c r="I435" i="1"/>
  <c r="J435" i="1"/>
  <c r="K435" i="1"/>
  <c r="L435" i="1"/>
  <c r="M435" i="1"/>
  <c r="N435" i="1"/>
  <c r="H436" i="1"/>
  <c r="I436" i="1"/>
  <c r="J436" i="1"/>
  <c r="K436" i="1" s="1"/>
  <c r="L436" i="1"/>
  <c r="M436" i="1"/>
  <c r="N436" i="1"/>
  <c r="H437" i="1"/>
  <c r="I437" i="1"/>
  <c r="J437" i="1"/>
  <c r="K437" i="1" s="1"/>
  <c r="M437" i="1"/>
  <c r="L437" i="1" s="1"/>
  <c r="H438" i="1"/>
  <c r="I438" i="1"/>
  <c r="J438" i="1"/>
  <c r="K438" i="1" s="1"/>
  <c r="L438" i="1"/>
  <c r="M438" i="1"/>
  <c r="N438" i="1"/>
  <c r="H439" i="1"/>
  <c r="I439" i="1"/>
  <c r="J439" i="1"/>
  <c r="K439" i="1"/>
  <c r="L439" i="1"/>
  <c r="M439" i="1"/>
  <c r="N439" i="1" s="1"/>
  <c r="H440" i="1"/>
  <c r="I440" i="1"/>
  <c r="J440" i="1"/>
  <c r="K440" i="1" s="1"/>
  <c r="L440" i="1"/>
  <c r="M440" i="1"/>
  <c r="N440" i="1" s="1"/>
  <c r="H441" i="1"/>
  <c r="I441" i="1"/>
  <c r="J441" i="1"/>
  <c r="K441" i="1"/>
  <c r="M441" i="1"/>
  <c r="N441" i="1" s="1"/>
  <c r="H442" i="1"/>
  <c r="I442" i="1"/>
  <c r="J442" i="1"/>
  <c r="K442" i="1" s="1"/>
  <c r="L442" i="1"/>
  <c r="M442" i="1"/>
  <c r="N442" i="1"/>
  <c r="H443" i="1"/>
  <c r="I443" i="1"/>
  <c r="J443" i="1"/>
  <c r="K443" i="1"/>
  <c r="M443" i="1"/>
  <c r="L443" i="1" s="1"/>
  <c r="H444" i="1"/>
  <c r="I444" i="1"/>
  <c r="J444" i="1"/>
  <c r="K444" i="1" s="1"/>
  <c r="L444" i="1"/>
  <c r="M444" i="1"/>
  <c r="N444" i="1"/>
  <c r="H445" i="1"/>
  <c r="I445" i="1"/>
  <c r="J445" i="1"/>
  <c r="K445" i="1" s="1"/>
  <c r="M445" i="1"/>
  <c r="L445" i="1" s="1"/>
  <c r="H446" i="1"/>
  <c r="I446" i="1"/>
  <c r="J446" i="1"/>
  <c r="K446" i="1" s="1"/>
  <c r="L446" i="1"/>
  <c r="M446" i="1"/>
  <c r="N446" i="1"/>
  <c r="H447" i="1"/>
  <c r="I447" i="1"/>
  <c r="J447" i="1"/>
  <c r="K447" i="1"/>
  <c r="L447" i="1"/>
  <c r="M447" i="1"/>
  <c r="N447" i="1" s="1"/>
  <c r="H448" i="1"/>
  <c r="I448" i="1"/>
  <c r="J448" i="1"/>
  <c r="K448" i="1" s="1"/>
  <c r="L448" i="1"/>
  <c r="M448" i="1"/>
  <c r="N448" i="1" s="1"/>
  <c r="H449" i="1"/>
  <c r="I449" i="1"/>
  <c r="J449" i="1"/>
  <c r="K449" i="1"/>
  <c r="M449" i="1"/>
  <c r="N449" i="1" s="1"/>
  <c r="H450" i="1"/>
  <c r="I450" i="1"/>
  <c r="J450" i="1"/>
  <c r="K450" i="1" s="1"/>
  <c r="L450" i="1"/>
  <c r="M450" i="1"/>
  <c r="N450" i="1"/>
  <c r="H451" i="1"/>
  <c r="I451" i="1"/>
  <c r="J451" i="1"/>
  <c r="K451" i="1"/>
  <c r="M451" i="1"/>
  <c r="L451" i="1" s="1"/>
  <c r="H452" i="1"/>
  <c r="I452" i="1"/>
  <c r="J452" i="1"/>
  <c r="K452" i="1" s="1"/>
  <c r="L452" i="1"/>
  <c r="M452" i="1"/>
  <c r="N452" i="1"/>
  <c r="H453" i="1"/>
  <c r="I453" i="1"/>
  <c r="J453" i="1"/>
  <c r="K453" i="1" s="1"/>
  <c r="M453" i="1"/>
  <c r="L453" i="1" s="1"/>
  <c r="H454" i="1"/>
  <c r="I454" i="1"/>
  <c r="J454" i="1"/>
  <c r="K454" i="1" s="1"/>
  <c r="L454" i="1"/>
  <c r="M454" i="1"/>
  <c r="N454" i="1"/>
  <c r="H455" i="1"/>
  <c r="I455" i="1"/>
  <c r="J455" i="1"/>
  <c r="K455" i="1"/>
  <c r="L455" i="1"/>
  <c r="M455" i="1"/>
  <c r="N455" i="1" s="1"/>
  <c r="H456" i="1"/>
  <c r="I456" i="1"/>
  <c r="J456" i="1"/>
  <c r="K456" i="1" s="1"/>
  <c r="L456" i="1"/>
  <c r="M456" i="1"/>
  <c r="N456" i="1" s="1"/>
  <c r="H457" i="1"/>
  <c r="I457" i="1"/>
  <c r="J457" i="1"/>
  <c r="K457" i="1"/>
  <c r="M457" i="1"/>
  <c r="N457" i="1" s="1"/>
  <c r="H458" i="1"/>
  <c r="I458" i="1"/>
  <c r="J458" i="1"/>
  <c r="K458" i="1" s="1"/>
  <c r="L458" i="1"/>
  <c r="M458" i="1"/>
  <c r="N458" i="1"/>
  <c r="H459" i="1"/>
  <c r="I459" i="1"/>
  <c r="J459" i="1"/>
  <c r="K459" i="1"/>
  <c r="M459" i="1"/>
  <c r="L459" i="1" s="1"/>
  <c r="H460" i="1"/>
  <c r="I460" i="1"/>
  <c r="J460" i="1"/>
  <c r="K460" i="1" s="1"/>
  <c r="L460" i="1"/>
  <c r="M460" i="1"/>
  <c r="N460" i="1"/>
  <c r="H461" i="1"/>
  <c r="I461" i="1"/>
  <c r="J461" i="1"/>
  <c r="K461" i="1" s="1"/>
  <c r="M461" i="1"/>
  <c r="L461" i="1" s="1"/>
  <c r="H462" i="1"/>
  <c r="I462" i="1"/>
  <c r="J462" i="1"/>
  <c r="K462" i="1" s="1"/>
  <c r="L462" i="1"/>
  <c r="M462" i="1"/>
  <c r="N462" i="1"/>
  <c r="H463" i="1"/>
  <c r="I463" i="1"/>
  <c r="J463" i="1"/>
  <c r="K463" i="1"/>
  <c r="L463" i="1"/>
  <c r="M463" i="1"/>
  <c r="N463" i="1" s="1"/>
  <c r="H464" i="1"/>
  <c r="I464" i="1"/>
  <c r="J464" i="1"/>
  <c r="K464" i="1" s="1"/>
  <c r="L464" i="1"/>
  <c r="M464" i="1"/>
  <c r="N464" i="1" s="1"/>
  <c r="H465" i="1"/>
  <c r="I465" i="1"/>
  <c r="J465" i="1"/>
  <c r="K465" i="1"/>
  <c r="M465" i="1"/>
  <c r="N465" i="1" s="1"/>
  <c r="H466" i="1"/>
  <c r="I466" i="1"/>
  <c r="J466" i="1"/>
  <c r="K466" i="1" s="1"/>
  <c r="L466" i="1"/>
  <c r="M466" i="1"/>
  <c r="N466" i="1"/>
  <c r="H467" i="1"/>
  <c r="I467" i="1"/>
  <c r="J467" i="1"/>
  <c r="K467" i="1"/>
  <c r="M467" i="1"/>
  <c r="L467" i="1" s="1"/>
  <c r="H468" i="1"/>
  <c r="I468" i="1"/>
  <c r="J468" i="1"/>
  <c r="K468" i="1" s="1"/>
  <c r="L468" i="1"/>
  <c r="M468" i="1"/>
  <c r="N468" i="1"/>
  <c r="H469" i="1"/>
  <c r="I469" i="1"/>
  <c r="J469" i="1"/>
  <c r="K469" i="1" s="1"/>
  <c r="M469" i="1"/>
  <c r="L469" i="1" s="1"/>
  <c r="H470" i="1"/>
  <c r="I470" i="1"/>
  <c r="J470" i="1"/>
  <c r="K470" i="1" s="1"/>
  <c r="L470" i="1"/>
  <c r="M470" i="1"/>
  <c r="N470" i="1"/>
  <c r="H471" i="1"/>
  <c r="I471" i="1"/>
  <c r="J471" i="1"/>
  <c r="K471" i="1"/>
  <c r="L471" i="1"/>
  <c r="M471" i="1"/>
  <c r="N471" i="1" s="1"/>
  <c r="H472" i="1"/>
  <c r="I472" i="1"/>
  <c r="J472" i="1"/>
  <c r="K472" i="1" s="1"/>
  <c r="L472" i="1"/>
  <c r="M472" i="1"/>
  <c r="N472" i="1" s="1"/>
  <c r="H473" i="1"/>
  <c r="I473" i="1"/>
  <c r="J473" i="1"/>
  <c r="K473" i="1"/>
  <c r="M473" i="1"/>
  <c r="N473" i="1" s="1"/>
  <c r="H474" i="1"/>
  <c r="I474" i="1"/>
  <c r="J474" i="1"/>
  <c r="K474" i="1" s="1"/>
  <c r="L474" i="1"/>
  <c r="M474" i="1"/>
  <c r="N474" i="1"/>
  <c r="H475" i="1"/>
  <c r="I475" i="1"/>
  <c r="J475" i="1"/>
  <c r="K475" i="1"/>
  <c r="M475" i="1"/>
  <c r="L475" i="1" s="1"/>
  <c r="H476" i="1"/>
  <c r="I476" i="1"/>
  <c r="J476" i="1"/>
  <c r="K476" i="1" s="1"/>
  <c r="L476" i="1"/>
  <c r="M476" i="1"/>
  <c r="N476" i="1"/>
  <c r="H477" i="1"/>
  <c r="I477" i="1"/>
  <c r="J477" i="1"/>
  <c r="K477" i="1" s="1"/>
  <c r="M477" i="1"/>
  <c r="L477" i="1" s="1"/>
  <c r="H478" i="1"/>
  <c r="I478" i="1"/>
  <c r="J478" i="1"/>
  <c r="K478" i="1" s="1"/>
  <c r="L478" i="1"/>
  <c r="M478" i="1"/>
  <c r="N478" i="1"/>
  <c r="H479" i="1"/>
  <c r="I479" i="1"/>
  <c r="J479" i="1"/>
  <c r="K479" i="1"/>
  <c r="L479" i="1"/>
  <c r="M479" i="1"/>
  <c r="N479" i="1" s="1"/>
  <c r="H480" i="1"/>
  <c r="I480" i="1"/>
  <c r="J480" i="1"/>
  <c r="K480" i="1" s="1"/>
  <c r="L480" i="1"/>
  <c r="M480" i="1"/>
  <c r="N480" i="1" s="1"/>
  <c r="H481" i="1"/>
  <c r="I481" i="1"/>
  <c r="J481" i="1"/>
  <c r="K481" i="1"/>
  <c r="M481" i="1"/>
  <c r="N481" i="1" s="1"/>
  <c r="H482" i="1"/>
  <c r="I482" i="1"/>
  <c r="J482" i="1"/>
  <c r="K482" i="1" s="1"/>
  <c r="L482" i="1"/>
  <c r="M482" i="1"/>
  <c r="N482" i="1"/>
  <c r="H483" i="1"/>
  <c r="I483" i="1"/>
  <c r="J483" i="1"/>
  <c r="K483" i="1"/>
  <c r="M483" i="1"/>
  <c r="L483" i="1" s="1"/>
  <c r="H484" i="1"/>
  <c r="I484" i="1"/>
  <c r="J484" i="1"/>
  <c r="K484" i="1" s="1"/>
  <c r="L484" i="1"/>
  <c r="M484" i="1"/>
  <c r="N484" i="1"/>
  <c r="H485" i="1"/>
  <c r="I485" i="1"/>
  <c r="J485" i="1"/>
  <c r="K485" i="1" s="1"/>
  <c r="M485" i="1"/>
  <c r="L485" i="1" s="1"/>
  <c r="H486" i="1"/>
  <c r="I486" i="1"/>
  <c r="J486" i="1"/>
  <c r="K486" i="1" s="1"/>
  <c r="L486" i="1"/>
  <c r="M486" i="1"/>
  <c r="N486" i="1"/>
  <c r="H487" i="1"/>
  <c r="I487" i="1"/>
  <c r="J487" i="1"/>
  <c r="K487" i="1"/>
  <c r="L487" i="1"/>
  <c r="M487" i="1"/>
  <c r="N487" i="1" s="1"/>
  <c r="H488" i="1"/>
  <c r="I488" i="1"/>
  <c r="J488" i="1"/>
  <c r="K488" i="1" s="1"/>
  <c r="L488" i="1"/>
  <c r="M488" i="1"/>
  <c r="N488" i="1" s="1"/>
  <c r="H489" i="1"/>
  <c r="I489" i="1"/>
  <c r="J489" i="1"/>
  <c r="K489" i="1"/>
  <c r="M489" i="1"/>
  <c r="N489" i="1" s="1"/>
  <c r="H490" i="1"/>
  <c r="I490" i="1"/>
  <c r="J490" i="1"/>
  <c r="K490" i="1" s="1"/>
  <c r="L490" i="1"/>
  <c r="M490" i="1"/>
  <c r="N490" i="1"/>
  <c r="H491" i="1"/>
  <c r="I491" i="1"/>
  <c r="J491" i="1"/>
  <c r="K491" i="1"/>
  <c r="M491" i="1"/>
  <c r="L491" i="1" s="1"/>
  <c r="H492" i="1"/>
  <c r="I492" i="1"/>
  <c r="J492" i="1"/>
  <c r="K492" i="1" s="1"/>
  <c r="L492" i="1"/>
  <c r="M492" i="1"/>
  <c r="N492" i="1"/>
  <c r="H493" i="1"/>
  <c r="I493" i="1"/>
  <c r="J493" i="1"/>
  <c r="K493" i="1" s="1"/>
  <c r="M493" i="1"/>
  <c r="L493" i="1" s="1"/>
  <c r="H494" i="1"/>
  <c r="I494" i="1"/>
  <c r="J494" i="1"/>
  <c r="K494" i="1" s="1"/>
  <c r="L494" i="1"/>
  <c r="M494" i="1"/>
  <c r="N494" i="1"/>
  <c r="H495" i="1"/>
  <c r="I495" i="1"/>
  <c r="J495" i="1"/>
  <c r="K495" i="1"/>
  <c r="L495" i="1"/>
  <c r="M495" i="1"/>
  <c r="N495" i="1" s="1"/>
  <c r="H496" i="1"/>
  <c r="I496" i="1"/>
  <c r="J496" i="1"/>
  <c r="K496" i="1" s="1"/>
  <c r="L496" i="1"/>
  <c r="M496" i="1"/>
  <c r="N496" i="1" s="1"/>
  <c r="H497" i="1"/>
  <c r="I497" i="1"/>
  <c r="J497" i="1"/>
  <c r="K497" i="1"/>
  <c r="M497" i="1"/>
  <c r="N497" i="1" s="1"/>
  <c r="H498" i="1"/>
  <c r="I498" i="1"/>
  <c r="J498" i="1"/>
  <c r="K498" i="1" s="1"/>
  <c r="L498" i="1"/>
  <c r="M498" i="1"/>
  <c r="N498" i="1"/>
  <c r="H499" i="1"/>
  <c r="I499" i="1"/>
  <c r="J499" i="1"/>
  <c r="K499" i="1"/>
  <c r="M499" i="1"/>
  <c r="L499" i="1" s="1"/>
  <c r="H500" i="1"/>
  <c r="I500" i="1"/>
  <c r="J500" i="1"/>
  <c r="K500" i="1" s="1"/>
  <c r="L500" i="1"/>
  <c r="M500" i="1"/>
  <c r="N500" i="1"/>
  <c r="M2" i="1"/>
  <c r="L2" i="1" s="1"/>
  <c r="I2" i="1"/>
  <c r="H2" i="1"/>
  <c r="K2" i="1" s="1"/>
  <c r="M11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L329" i="1" l="1"/>
  <c r="N329" i="1"/>
  <c r="L265" i="1"/>
  <c r="N265" i="1"/>
  <c r="N499" i="1"/>
  <c r="L497" i="1"/>
  <c r="N491" i="1"/>
  <c r="L489" i="1"/>
  <c r="N483" i="1"/>
  <c r="L481" i="1"/>
  <c r="N475" i="1"/>
  <c r="L473" i="1"/>
  <c r="N467" i="1"/>
  <c r="L465" i="1"/>
  <c r="N459" i="1"/>
  <c r="L457" i="1"/>
  <c r="N451" i="1"/>
  <c r="L449" i="1"/>
  <c r="N443" i="1"/>
  <c r="L441" i="1"/>
  <c r="L434" i="1"/>
  <c r="N429" i="1"/>
  <c r="L428" i="1"/>
  <c r="N418" i="1"/>
  <c r="L416" i="1"/>
  <c r="N412" i="1"/>
  <c r="L411" i="1"/>
  <c r="L396" i="1"/>
  <c r="L392" i="1"/>
  <c r="L388" i="1"/>
  <c r="L381" i="1"/>
  <c r="N381" i="1"/>
  <c r="L369" i="1"/>
  <c r="N369" i="1"/>
  <c r="L305" i="1"/>
  <c r="N305" i="1"/>
  <c r="L241" i="1"/>
  <c r="N241" i="1"/>
  <c r="L345" i="1"/>
  <c r="N345" i="1"/>
  <c r="L281" i="1"/>
  <c r="N281" i="1"/>
  <c r="L220" i="1"/>
  <c r="N220" i="1"/>
  <c r="N145" i="1"/>
  <c r="L145" i="1"/>
  <c r="N81" i="1"/>
  <c r="L81" i="1"/>
  <c r="N493" i="1"/>
  <c r="N485" i="1"/>
  <c r="N477" i="1"/>
  <c r="N469" i="1"/>
  <c r="N461" i="1"/>
  <c r="N453" i="1"/>
  <c r="N445" i="1"/>
  <c r="N437" i="1"/>
  <c r="N425" i="1"/>
  <c r="N413" i="1"/>
  <c r="N389" i="1"/>
  <c r="L321" i="1"/>
  <c r="N321" i="1"/>
  <c r="L257" i="1"/>
  <c r="N257" i="1"/>
  <c r="N179" i="1"/>
  <c r="L179" i="1"/>
  <c r="L373" i="1"/>
  <c r="N373" i="1"/>
  <c r="L361" i="1"/>
  <c r="N361" i="1"/>
  <c r="L297" i="1"/>
  <c r="N297" i="1"/>
  <c r="L233" i="1"/>
  <c r="N233" i="1"/>
  <c r="L431" i="1"/>
  <c r="L337" i="1"/>
  <c r="N337" i="1"/>
  <c r="L273" i="1"/>
  <c r="N273" i="1"/>
  <c r="N421" i="1"/>
  <c r="L377" i="1"/>
  <c r="N377" i="1"/>
  <c r="L313" i="1"/>
  <c r="N313" i="1"/>
  <c r="L249" i="1"/>
  <c r="N249" i="1"/>
  <c r="L353" i="1"/>
  <c r="N353" i="1"/>
  <c r="L289" i="1"/>
  <c r="N289" i="1"/>
  <c r="L216" i="1"/>
  <c r="N216" i="1"/>
  <c r="L207" i="1"/>
  <c r="N207" i="1"/>
  <c r="N225" i="1"/>
  <c r="L175" i="1"/>
  <c r="N175" i="1"/>
  <c r="N129" i="1"/>
  <c r="L129" i="1"/>
  <c r="N65" i="1"/>
  <c r="L65" i="1"/>
  <c r="N41" i="1"/>
  <c r="L41" i="1"/>
  <c r="L215" i="1"/>
  <c r="L195" i="1"/>
  <c r="N185" i="1"/>
  <c r="L185" i="1"/>
  <c r="L172" i="1"/>
  <c r="N172" i="1"/>
  <c r="N169" i="1"/>
  <c r="L169" i="1"/>
  <c r="N105" i="1"/>
  <c r="L105" i="1"/>
  <c r="N17" i="1"/>
  <c r="L17" i="1"/>
  <c r="L167" i="1"/>
  <c r="N167" i="1"/>
  <c r="N121" i="1"/>
  <c r="L121" i="1"/>
  <c r="N57" i="1"/>
  <c r="L57" i="1"/>
  <c r="N33" i="1"/>
  <c r="L33" i="1"/>
  <c r="L227" i="1"/>
  <c r="N193" i="1"/>
  <c r="L193" i="1"/>
  <c r="L183" i="1"/>
  <c r="N183" i="1"/>
  <c r="L164" i="1"/>
  <c r="N164" i="1"/>
  <c r="N161" i="1"/>
  <c r="L161" i="1"/>
  <c r="N97" i="1"/>
  <c r="L97" i="1"/>
  <c r="N9" i="1"/>
  <c r="L9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01" i="1"/>
  <c r="L201" i="1"/>
  <c r="N137" i="1"/>
  <c r="L137" i="1"/>
  <c r="N73" i="1"/>
  <c r="L73" i="1"/>
  <c r="N49" i="1"/>
  <c r="L49" i="1"/>
  <c r="L187" i="1"/>
  <c r="N177" i="1"/>
  <c r="L177" i="1"/>
  <c r="L159" i="1"/>
  <c r="N159" i="1"/>
  <c r="N113" i="1"/>
  <c r="L113" i="1"/>
  <c r="N25" i="1"/>
  <c r="L25" i="1"/>
  <c r="L214" i="1"/>
  <c r="L198" i="1"/>
  <c r="L191" i="1"/>
  <c r="N191" i="1"/>
  <c r="L156" i="1"/>
  <c r="N156" i="1"/>
  <c r="N153" i="1"/>
  <c r="L153" i="1"/>
  <c r="N89" i="1"/>
  <c r="L89" i="1"/>
  <c r="N51" i="1"/>
  <c r="N43" i="1"/>
  <c r="N35" i="1"/>
  <c r="N27" i="1"/>
  <c r="N19" i="1"/>
  <c r="N11" i="1"/>
  <c r="N3" i="1"/>
  <c r="N148" i="1"/>
  <c r="N140" i="1"/>
  <c r="N132" i="1"/>
  <c r="N124" i="1"/>
  <c r="N116" i="1"/>
  <c r="N108" i="1"/>
  <c r="N100" i="1"/>
  <c r="N92" i="1"/>
  <c r="N84" i="1"/>
  <c r="N76" i="1"/>
  <c r="N68" i="1"/>
  <c r="N60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J501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H77" i="2" s="1"/>
  <c r="F21" i="2"/>
  <c r="H21" i="2" s="1"/>
  <c r="G75" i="2"/>
  <c r="H75" i="2" s="1"/>
  <c r="G3" i="2"/>
  <c r="H3" i="2" s="1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501" i="1"/>
  <c r="I501" i="1"/>
  <c r="K501" i="1"/>
  <c r="L501" i="1" l="1"/>
  <c r="M501" i="1"/>
  <c r="N501" i="1" s="1"/>
  <c r="N2" i="1"/>
</calcChain>
</file>

<file path=xl/sharedStrings.xml><?xml version="1.0" encoding="utf-8"?>
<sst xmlns="http://schemas.openxmlformats.org/spreadsheetml/2006/main" count="31" uniqueCount="28">
  <si>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</si>
  <si>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</si>
  <si>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</si>
  <si>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</si>
  <si>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</si>
  <si>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</si>
  <si>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</si>
  <si>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</si>
  <si>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</si>
  <si>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</si>
  <si>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</si>
  <si>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</si>
  <si>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</si>
  <si>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</si>
  <si>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</si>
  <si>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</si>
  <si>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t>σ(S/cm)</t>
  </si>
  <si>
    <r>
      <t>μ(cm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</si>
  <si>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</si>
  <si>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m*(m</t>
    </r>
    <r>
      <rPr>
        <vertAlign val="subscript"/>
        <sz val="11"/>
        <rFont val="等线"/>
        <family val="3"/>
        <charset val="134"/>
        <scheme val="minor"/>
      </rPr>
      <t>e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</si>
  <si>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0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</si>
  <si>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</si>
  <si>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WT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</si>
  <si>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</si>
  <si>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n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(1e19 cm</t>
    </r>
    <r>
      <rPr>
        <vertAlign val="superscript"/>
        <sz val="11"/>
        <rFont val="等线"/>
        <family val="3"/>
        <charset val="134"/>
        <scheme val="minor"/>
      </rPr>
      <t>-3</t>
    </r>
    <r>
      <rPr>
        <sz val="11"/>
        <rFont val="等线"/>
        <family val="3"/>
        <charset val="134"/>
        <scheme val="minor"/>
      </rPr>
      <t>)</t>
    </r>
    <phoneticPr fontId="1" type="noConversion"/>
  </si>
  <si>
    <t>T(K)</t>
    <phoneticPr fontId="1" type="noConversion"/>
  </si>
  <si>
    <r>
      <t>Lz(1e-8 WΩ/K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</si>
  <si>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κ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(W/m·K)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</si>
</sst>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vertAlign val="superscript"/>
      <sz val="11"/>
      <name val="等线"/>
      <family val="3"/>
      <charset val="134"/>
      <scheme val="minor"/>
    </font>
    <font>
      <vertAlign val="subscript"/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77B77"/>
      <color rgb="FFCC3B34"/>
      <color rgb="FFA85E58"/>
      <color rgb="FFC26E6A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456.82145664347701</c:v>
                </c:pt>
                <c:pt idx="1">
                  <c:v>450.9018386936184</c:v>
                </c:pt>
                <c:pt idx="2">
                  <c:v>444.98456862665398</c:v>
                </c:pt>
                <c:pt idx="3">
                  <c:v>439.06981229456613</c:v>
                </c:pt>
                <c:pt idx="4">
                  <c:v>433.15774710775912</c:v>
                </c:pt>
                <c:pt idx="5">
                  <c:v>427.24856281747856</c:v>
                </c:pt>
                <c:pt idx="6">
                  <c:v>421.34246234779346</c:v>
                </c:pt>
                <c:pt idx="7">
                  <c:v>415.43966267977947</c:v>
                </c:pt>
                <c:pt idx="8">
                  <c:v>409.54039579058576</c:v>
                </c:pt>
                <c:pt idx="9">
                  <c:v>403.6449096501326</c:v>
                </c:pt>
                <c:pt idx="10">
                  <c:v>397.75346927822233</c:v>
                </c:pt>
                <c:pt idx="11">
                  <c:v>391.86635786483862</c:v>
                </c:pt>
                <c:pt idx="12">
                  <c:v>385.98387795641946</c:v>
                </c:pt>
                <c:pt idx="13">
                  <c:v>380.1063527108517</c:v>
                </c:pt>
                <c:pt idx="14">
                  <c:v>374.23412722384285</c:v>
                </c:pt>
                <c:pt idx="15">
                  <c:v>368.3675699292462</c:v>
                </c:pt>
                <c:pt idx="16">
                  <c:v>362.50707407573344</c:v>
                </c:pt>
                <c:pt idx="17">
                  <c:v>356.65305928202923</c:v>
                </c:pt>
                <c:pt idx="18">
                  <c:v>350.80597317262317</c:v>
                </c:pt>
                <c:pt idx="19">
                  <c:v>344.96629309556261</c:v>
                </c:pt>
                <c:pt idx="20">
                  <c:v>339.13452792350535</c:v>
                </c:pt>
                <c:pt idx="21">
                  <c:v>333.31121993869129</c:v>
                </c:pt>
                <c:pt idx="22">
                  <c:v>327.49694680189589</c:v>
                </c:pt>
                <c:pt idx="23">
                  <c:v>321.69232360470539</c:v>
                </c:pt>
                <c:pt idx="24">
                  <c:v>315.89800500358024</c:v>
                </c:pt>
                <c:pt idx="25">
                  <c:v>310.11468743319659</c:v>
                </c:pt>
                <c:pt idx="26">
                  <c:v>304.34311139539932</c:v>
                </c:pt>
                <c:pt idx="27">
                  <c:v>298.58406381875687</c:v>
                </c:pt>
                <c:pt idx="28">
                  <c:v>292.83838048220787</c:v>
                </c:pt>
                <c:pt idx="29">
                  <c:v>287.10694849457059</c:v>
                </c:pt>
                <c:pt idx="30">
                  <c:v>281.39070881972924</c:v>
                </c:pt>
                <c:pt idx="31">
                  <c:v>275.69065883515714</c:v>
                </c:pt>
                <c:pt idx="32">
                  <c:v>270.00785490902143</c:v>
                </c:pt>
                <c:pt idx="33">
                  <c:v>264.34341497842854</c:v>
                </c:pt>
                <c:pt idx="34">
                  <c:v>258.69852110846062</c:v>
                </c:pt>
                <c:pt idx="35">
                  <c:v>253.07442200846825</c:v>
                </c:pt>
                <c:pt idx="36">
                  <c:v>247.47243547863187</c:v>
                </c:pt>
                <c:pt idx="37">
                  <c:v>241.89395075614422</c:v>
                </c:pt>
                <c:pt idx="38">
                  <c:v>236.34043072647933</c:v>
                </c:pt>
                <c:pt idx="39">
                  <c:v>230.81341396112094</c:v>
                </c:pt>
                <c:pt idx="40">
                  <c:v>225.31451653894595</c:v>
                </c:pt>
                <c:pt idx="41">
                  <c:v>219.84543360416555</c:v>
                </c:pt>
                <c:pt idx="42">
                  <c:v>214.40794060948355</c:v>
                </c:pt>
                <c:pt idx="43">
                  <c:v>209.0038941889573</c:v>
                </c:pt>
                <c:pt idx="44">
                  <c:v>203.63523260114232</c:v>
                </c:pt>
                <c:pt idx="45">
                  <c:v>198.30397567955254</c:v>
                </c:pt>
                <c:pt idx="46">
                  <c:v>193.01222422443627</c:v>
                </c:pt>
                <c:pt idx="47">
                  <c:v>187.76215876759161</c:v>
                </c:pt>
                <c:pt idx="48">
                  <c:v>182.55603764057861</c:v>
                </c:pt>
                <c:pt idx="49">
                  <c:v>177.39619427645368</c:v>
                </c:pt>
                <c:pt idx="50">
                  <c:v>172.28503367633675</c:v>
                </c:pt>
                <c:pt idx="51">
                  <c:v>167.22502797492234</c:v>
                </c:pt>
                <c:pt idx="52">
                  <c:v>162.21871104369652</c:v>
                </c:pt>
                <c:pt idx="53">
                  <c:v>157.26867207740355</c:v>
                </c:pt>
                <c:pt idx="54">
                  <c:v>152.37754811837064</c:v>
                </c:pt>
                <c:pt idx="55">
                  <c:v>147.54801548480893</c:v>
                </c:pt>
                <c:pt idx="56">
                  <c:v>142.78278008331699</c:v>
                </c:pt>
                <c:pt idx="57">
                  <c:v>138.08456660250411</c:v>
                </c:pt>
                <c:pt idx="58">
                  <c:v>133.4561066038616</c:v>
                </c:pt>
                <c:pt idx="59">
                  <c:v>128.90012554762501</c:v>
                </c:pt>
                <c:pt idx="60">
                  <c:v>124.41932881504502</c:v>
                </c:pt>
                <c:pt idx="61">
                  <c:v>120.01638681380423</c:v>
                </c:pt>
                <c:pt idx="62">
                  <c:v>115.69391927976336</c:v>
                </c:pt>
                <c:pt idx="63">
                  <c:v>111.45447891505322</c:v>
                </c:pt>
                <c:pt idx="64">
                  <c:v>107.30053452893705</c:v>
                </c:pt>
                <c:pt idx="65">
                  <c:v>103.23445387297137</c:v>
                </c:pt>
                <c:pt idx="66">
                  <c:v>99.258486384739953</c:v>
                </c:pt>
                <c:pt idx="67">
                  <c:v>95.374746073854922</c:v>
                </c:pt>
                <c:pt idx="68">
                  <c:v>91.585194798941217</c:v>
                </c:pt>
                <c:pt idx="69">
                  <c:v>87.891626194081638</c:v>
                </c:pt>
                <c:pt idx="70">
                  <c:v>84.295650506792455</c:v>
                </c:pt>
                <c:pt idx="71">
                  <c:v>80.79868060648505</c:v>
                </c:pt>
                <c:pt idx="72">
                  <c:v>77.401919412082648</c:v>
                </c:pt>
                <c:pt idx="73">
                  <c:v>74.106348969939901</c:v>
                </c:pt>
                <c:pt idx="74">
                  <c:v>70.912721388599437</c:v>
                </c:pt>
                <c:pt idx="75">
                  <c:v>67.821551805776636</c:v>
                </c:pt>
                <c:pt idx="76">
                  <c:v>64.833113526072623</c:v>
                </c:pt>
                <c:pt idx="77">
                  <c:v>61.947435426380686</c:v>
                </c:pt>
                <c:pt idx="78">
                  <c:v>59.164301681140969</c:v>
                </c:pt>
                <c:pt idx="79">
                  <c:v>56.48325381298492</c:v>
                </c:pt>
                <c:pt idx="80">
                  <c:v>53.903595027498831</c:v>
                </c:pt>
                <c:pt idx="81">
                  <c:v>51.424396745461557</c:v>
                </c:pt>
                <c:pt idx="82">
                  <c:v>49.044507203480968</c:v>
                </c:pt>
                <c:pt idx="83">
                  <c:v>46.762561955853222</c:v>
                </c:pt>
                <c:pt idx="84">
                  <c:v>44.576996077887685</c:v>
                </c:pt>
                <c:pt idx="85">
                  <c:v>42.486057844729764</c:v>
                </c:pt>
                <c:pt idx="86">
                  <c:v>40.487823640493872</c:v>
                </c:pt>
                <c:pt idx="87">
                  <c:v>38.58021384052099</c:v>
                </c:pt>
                <c:pt idx="88">
                  <c:v>36.76100940479926</c:v>
                </c:pt>
                <c:pt idx="89">
                  <c:v>35.027868922646221</c:v>
                </c:pt>
                <c:pt idx="90">
                  <c:v>33.378345857122731</c:v>
                </c:pt>
                <c:pt idx="91">
                  <c:v>31.809905751513696</c:v>
                </c:pt>
                <c:pt idx="92">
                  <c:v>30.319943178683417</c:v>
                </c:pt>
                <c:pt idx="93">
                  <c:v>28.905798236166479</c:v>
                </c:pt>
                <c:pt idx="94">
                  <c:v>27.56477241449549</c:v>
                </c:pt>
                <c:pt idx="95">
                  <c:v>26.294143692449424</c:v>
                </c:pt>
                <c:pt idx="96">
                  <c:v>25.091180739728546</c:v>
                </c:pt>
                <c:pt idx="97">
                  <c:v>23.953156134151232</c:v>
                </c:pt>
                <c:pt idx="98">
                  <c:v>22.877358526119249</c:v>
                </c:pt>
                <c:pt idx="99">
                  <c:v>21.861103707203842</c:v>
                </c:pt>
                <c:pt idx="100">
                  <c:v>20.901744561827297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98.396315735234893</c:v>
                </c:pt>
                <c:pt idx="1">
                  <c:v>98.353702003756624</c:v>
                </c:pt>
                <c:pt idx="2">
                  <c:v>98.308122384910092</c:v>
                </c:pt>
                <c:pt idx="3">
                  <c:v>98.259376577221801</c:v>
                </c:pt>
                <c:pt idx="4">
                  <c:v>98.207251636107117</c:v>
                </c:pt>
                <c:pt idx="5">
                  <c:v>98.151521303695645</c:v>
                </c:pt>
                <c:pt idx="6">
                  <c:v>98.091945322075006</c:v>
                </c:pt>
                <c:pt idx="7">
                  <c:v>98.028268732698749</c:v>
                </c:pt>
                <c:pt idx="8">
                  <c:v>97.960221165331859</c:v>
                </c:pt>
                <c:pt idx="9">
                  <c:v>97.887516120618642</c:v>
                </c:pt>
                <c:pt idx="10">
                  <c:v>97.809850251151005</c:v>
                </c:pt>
                <c:pt idx="11">
                  <c:v>97.72690264679926</c:v>
                </c:pt>
                <c:pt idx="12">
                  <c:v>97.638334131045085</c:v>
                </c:pt>
                <c:pt idx="13">
                  <c:v>97.543786576129818</c:v>
                </c:pt>
                <c:pt idx="14">
                  <c:v>97.442882246000551</c:v>
                </c:pt>
                <c:pt idx="15">
                  <c:v>97.33522317730403</c:v>
                </c:pt>
                <c:pt idx="16">
                  <c:v>97.220390610033562</c:v>
                </c:pt>
                <c:pt idx="17">
                  <c:v>97.097944480877999</c:v>
                </c:pt>
                <c:pt idx="18">
                  <c:v>96.967422993834376</c:v>
                </c:pt>
                <c:pt idx="19">
                  <c:v>96.828342284216546</c:v>
                </c:pt>
                <c:pt idx="20">
                  <c:v>96.680196193796405</c:v>
                </c:pt>
                <c:pt idx="21">
                  <c:v>96.522456176422253</c:v>
                </c:pt>
                <c:pt idx="22">
                  <c:v>96.354571355036242</c:v>
                </c:pt>
                <c:pt idx="23">
                  <c:v>96.175968752513313</c:v>
                </c:pt>
                <c:pt idx="24">
                  <c:v>95.986053720113247</c:v>
                </c:pt>
                <c:pt idx="25">
                  <c:v>95.784210588513744</c:v>
                </c:pt>
                <c:pt idx="26">
                  <c:v>95.569803567301292</c:v>
                </c:pt>
                <c:pt idx="27">
                  <c:v>95.342177919353432</c:v>
                </c:pt>
                <c:pt idx="28">
                  <c:v>95.100661436663103</c:v>
                </c:pt>
                <c:pt idx="29">
                  <c:v>94.844566243728735</c:v>
                </c:pt>
                <c:pt idx="30">
                  <c:v>94.573190953557997</c:v>
                </c:pt>
                <c:pt idx="31">
                  <c:v>94.285823199502843</c:v>
                </c:pt>
                <c:pt idx="32">
                  <c:v>93.981742563447511</c:v>
                </c:pt>
                <c:pt idx="33">
                  <c:v>93.660223917207816</c:v>
                </c:pt>
                <c:pt idx="34">
                  <c:v>93.320541189284071</c:v>
                </c:pt>
                <c:pt idx="35">
                  <c:v>92.961971563264484</c:v>
                </c:pt>
                <c:pt idx="36">
                  <c:v>92.583800107161778</c:v>
                </c:pt>
                <c:pt idx="37">
                  <c:v>92.185324824772692</c:v>
                </c:pt>
                <c:pt idx="38">
                  <c:v>91.765862110817679</c:v>
                </c:pt>
                <c:pt idx="39">
                  <c:v>91.32475258122976</c:v>
                </c:pt>
                <c:pt idx="40">
                  <c:v>90.86136723867692</c:v>
                </c:pt>
                <c:pt idx="41">
                  <c:v>90.375113921429943</c:v>
                </c:pt>
                <c:pt idx="42">
                  <c:v>89.865443971320758</c:v>
                </c:pt>
                <c:pt idx="43">
                  <c:v>89.331859044127299</c:v>
                </c:pt>
                <c:pt idx="44">
                  <c:v>88.773917973695163</c:v>
                </c:pt>
                <c:pt idx="45">
                  <c:v>88.191243589941024</c:v>
                </c:pt>
                <c:pt idx="46">
                  <c:v>87.583529381089761</c:v>
                </c:pt>
                <c:pt idx="47">
                  <c:v>86.950545882623544</c:v>
                </c:pt>
                <c:pt idx="48">
                  <c:v>86.292146669990885</c:v>
                </c:pt>
                <c:pt idx="49">
                  <c:v>85.608273829629482</c:v>
                </c:pt>
                <c:pt idx="50">
                  <c:v>84.898962783734348</c:v>
                </c:pt>
                <c:pt idx="51">
                  <c:v>84.16434634876677</c:v>
                </c:pt>
                <c:pt idx="52">
                  <c:v>83.404657916143137</c:v>
                </c:pt>
                <c:pt idx="53">
                  <c:v>82.620233655902339</c:v>
                </c:pt>
                <c:pt idx="54">
                  <c:v>81.811513660274883</c:v>
                </c:pt>
                <c:pt idx="55">
                  <c:v>80.979041963628347</c:v>
                </c:pt>
                <c:pt idx="56">
                  <c:v>80.123465397734549</c:v>
                </c:pt>
                <c:pt idx="57">
                  <c:v>79.245531265995368</c:v>
                </c:pt>
                <c:pt idx="58">
                  <c:v>78.34608384634717</c:v>
                </c:pt>
                <c:pt idx="59">
                  <c:v>77.426059759116455</c:v>
                </c:pt>
                <c:pt idx="60">
                  <c:v>76.486482262127112</c:v>
                </c:pt>
                <c:pt idx="61">
                  <c:v>75.528454559877829</c:v>
                </c:pt>
                <c:pt idx="62">
                  <c:v>74.553152235697269</c:v>
                </c:pt>
                <c:pt idx="63">
                  <c:v>73.561814934615356</c:v>
                </c:pt>
                <c:pt idx="64">
                  <c:v>72.555737439593017</c:v>
                </c:pt>
                <c:pt idx="65">
                  <c:v>71.536260294263229</c:v>
                </c:pt>
                <c:pt idx="66">
                  <c:v>70.504760131172588</c:v>
                </c:pt>
                <c:pt idx="67">
                  <c:v>69.462639865638124</c:v>
                </c:pt>
                <c:pt idx="68">
                  <c:v>68.411318911898974</c:v>
                </c:pt>
                <c:pt idx="69">
                  <c:v>67.352223570621916</c:v>
                </c:pt>
                <c:pt idx="70">
                  <c:v>66.28677772550293</c:v>
                </c:pt>
                <c:pt idx="71">
                  <c:v>65.216393972362098</c:v>
                </c:pt>
                <c:pt idx="72">
                  <c:v>64.142465287448815</c:v>
                </c:pt>
                <c:pt idx="73">
                  <c:v>63.066357323433863</c:v>
                </c:pt>
                <c:pt idx="74">
                  <c:v>61.989401402492582</c:v>
                </c:pt>
                <c:pt idx="75">
                  <c:v>60.912888256704719</c:v>
                </c:pt>
                <c:pt idx="76">
                  <c:v>59.838062547332726</c:v>
                </c:pt>
                <c:pt idx="77">
                  <c:v>58.766118176930703</c:v>
                </c:pt>
                <c:pt idx="78">
                  <c:v>57.698194392126013</c:v>
                </c:pt>
                <c:pt idx="79">
                  <c:v>56.6353726606132</c:v>
                </c:pt>
                <c:pt idx="80">
                  <c:v>55.578674293615421</c:v>
                </c:pt>
                <c:pt idx="81">
                  <c:v>54.529058774916145</c:v>
                </c:pt>
                <c:pt idx="82">
                  <c:v>53.48742274954644</c:v>
                </c:pt>
                <c:pt idx="83">
                  <c:v>52.454599619264023</c:v>
                </c:pt>
                <c:pt idx="84">
                  <c:v>51.431359687962612</c:v>
                </c:pt>
                <c:pt idx="85">
                  <c:v>50.418410797913999</c:v>
                </c:pt>
                <c:pt idx="86">
                  <c:v>49.41639939707845</c:v>
                </c:pt>
                <c:pt idx="87">
                  <c:v>48.425911978384384</c:v>
                </c:pt>
                <c:pt idx="88">
                  <c:v>47.447476833667096</c:v>
                </c:pt>
                <c:pt idx="89">
                  <c:v>46.481566067619418</c:v>
                </c:pt>
                <c:pt idx="90">
                  <c:v>45.528597820459069</c:v>
                </c:pt>
                <c:pt idx="91">
                  <c:v>44.58893865184308</c:v>
                </c:pt>
                <c:pt idx="92">
                  <c:v>43.662906042701501</c:v>
                </c:pt>
                <c:pt idx="93">
                  <c:v>42.750770975955973</c:v>
                </c:pt>
                <c:pt idx="94">
                  <c:v>41.852760561426955</c:v>
                </c:pt>
                <c:pt idx="95">
                  <c:v>40.969060674489043</c:v>
                </c:pt>
                <c:pt idx="96">
                  <c:v>40.099818582149297</c:v>
                </c:pt>
                <c:pt idx="97">
                  <c:v>39.245145534118286</c:v>
                </c:pt>
                <c:pt idx="98">
                  <c:v>38.405119300086213</c:v>
                </c:pt>
                <c:pt idx="99">
                  <c:v>37.579786637768315</c:v>
                </c:pt>
                <c:pt idx="100">
                  <c:v>36.76916567933781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3.2898963821411131</c:v>
                </c:pt>
                <c:pt idx="1">
                  <c:v>3.4329313412148843</c:v>
                </c:pt>
                <c:pt idx="2">
                  <c:v>3.5808794139298397</c:v>
                </c:pt>
                <c:pt idx="3">
                  <c:v>3.733804335181202</c:v>
                </c:pt>
                <c:pt idx="4">
                  <c:v>3.8917606591615859</c:v>
                </c:pt>
                <c:pt idx="5">
                  <c:v>4.0547926457851018</c:v>
                </c:pt>
                <c:pt idx="6">
                  <c:v>4.2229330778698113</c:v>
                </c:pt>
                <c:pt idx="7">
                  <c:v>4.3962020086279425</c:v>
                </c:pt>
                <c:pt idx="8">
                  <c:v>4.5746054396278</c:v>
                </c:pt>
                <c:pt idx="9">
                  <c:v>4.7581339301157533</c:v>
                </c:pt>
                <c:pt idx="10">
                  <c:v>4.9467611394341455</c:v>
                </c:pt>
                <c:pt idx="11">
                  <c:v>5.1404423052535098</c:v>
                </c:pt>
                <c:pt idx="12">
                  <c:v>5.3391126614655589</c:v>
                </c:pt>
                <c:pt idx="13">
                  <c:v>5.5426858008701938</c:v>
                </c:pt>
                <c:pt idx="14">
                  <c:v>5.7510519892467968</c:v>
                </c:pt>
                <c:pt idx="15">
                  <c:v>5.9640764390352912</c:v>
                </c:pt>
                <c:pt idx="16">
                  <c:v>6.1815975526765756</c:v>
                </c:pt>
                <c:pt idx="17">
                  <c:v>6.4034251476790729</c:v>
                </c:pt>
                <c:pt idx="18">
                  <c:v>6.6293386776927594</c:v>
                </c:pt>
                <c:pt idx="19">
                  <c:v>6.8590854662804945</c:v>
                </c:pt>
                <c:pt idx="20">
                  <c:v>7.0923789726731403</c:v>
                </c:pt>
                <c:pt idx="21">
                  <c:v>7.3288971115673442</c:v>
                </c:pt>
                <c:pt idx="22">
                  <c:v>7.5682806519484069</c:v>
                </c:pt>
                <c:pt idx="23">
                  <c:v>7.810131722967002</c:v>
                </c:pt>
                <c:pt idx="24">
                  <c:v>8.0540124580253636</c:v>
                </c:pt>
                <c:pt idx="25">
                  <c:v>8.2994438113789641</c:v>
                </c:pt>
                <c:pt idx="26">
                  <c:v>8.5459045846665571</c:v>
                </c:pt>
                <c:pt idx="27">
                  <c:v>8.7928307037608509</c:v>
                </c:pt>
                <c:pt idx="28">
                  <c:v>9.0396147890792768</c:v>
                </c:pt>
                <c:pt idx="29">
                  <c:v>9.2856060648941305</c:v>
                </c:pt>
                <c:pt idx="30">
                  <c:v>9.5301106550962018</c:v>
                </c:pt>
                <c:pt idx="31">
                  <c:v>9.7723923141412961</c:v>
                </c:pt>
                <c:pt idx="32">
                  <c:v>10.011673642378197</c:v>
                </c:pt>
                <c:pt idx="33">
                  <c:v>10.247137834439016</c:v>
                </c:pt>
                <c:pt idx="34">
                  <c:v>10.477931007677483</c:v>
                </c:pt>
                <c:pt idx="35">
                  <c:v>10.703165154578505</c:v>
                </c:pt>
                <c:pt idx="36">
                  <c:v>10.921921758448546</c:v>
                </c:pt>
                <c:pt idx="37">
                  <c:v>11.133256105356583</c:v>
                </c:pt>
                <c:pt idx="38">
                  <c:v>11.33620231708873</c:v>
                </c:pt>
                <c:pt idx="39">
                  <c:v>11.529779119697622</c:v>
                </c:pt>
                <c:pt idx="40">
                  <c:v>11.71299635001491</c:v>
                </c:pt>
                <c:pt idx="41">
                  <c:v>11.884862188265766</c:v>
                </c:pt>
                <c:pt idx="42">
                  <c:v>12.044391088767231</c:v>
                </c:pt>
                <c:pt idx="43">
                  <c:v>12.190612362794946</c:v>
                </c:pt>
                <c:pt idx="44">
                  <c:v>12.322579348350345</c:v>
                </c:pt>
                <c:pt idx="45">
                  <c:v>12.439379081152731</c:v>
                </c:pt>
                <c:pt idx="46">
                  <c:v>12.540142360227229</c:v>
                </c:pt>
                <c:pt idx="47">
                  <c:v>12.624054080577134</c:v>
                </c:pt>
                <c:pt idx="48">
                  <c:v>12.690363685334052</c:v>
                </c:pt>
                <c:pt idx="49">
                  <c:v>12.738395571264245</c:v>
                </c:pt>
                <c:pt idx="50">
                  <c:v>12.767559265418745</c:v>
                </c:pt>
                <c:pt idx="51">
                  <c:v>12.777359177914203</c:v>
                </c:pt>
                <c:pt idx="52">
                  <c:v>12.767403727161144</c:v>
                </c:pt>
                <c:pt idx="53">
                  <c:v>12.737413630093483</c:v>
                </c:pt>
                <c:pt idx="54">
                  <c:v>12.687229151762152</c:v>
                </c:pt>
                <c:pt idx="55">
                  <c:v>12.616816116540319</c:v>
                </c:pt>
                <c:pt idx="56">
                  <c:v>12.526270497453529</c:v>
                </c:pt>
                <c:pt idx="57">
                  <c:v>12.415821420862216</c:v>
                </c:pt>
                <c:pt idx="58">
                  <c:v>12.285832450691359</c:v>
                </c:pt>
                <c:pt idx="59">
                  <c:v>12.136801049152762</c:v>
                </c:pt>
                <c:pt idx="60">
                  <c:v>11.969356148692594</c:v>
                </c:pt>
                <c:pt idx="61">
                  <c:v>11.784253811712228</c:v>
                </c:pt>
                <c:pt idx="62">
                  <c:v>11.582370999218965</c:v>
                </c:pt>
                <c:pt idx="63">
                  <c:v>11.364697515538413</c:v>
                </c:pt>
                <c:pt idx="64">
                  <c:v>11.132326242009064</c:v>
                </c:pt>
                <c:pt idx="65">
                  <c:v>10.886441816563377</c:v>
                </c:pt>
                <c:pt idx="66">
                  <c:v>10.628307956666129</c:v>
                </c:pt>
                <c:pt idx="67">
                  <c:v>10.359253658701684</c:v>
                </c:pt>
                <c:pt idx="68">
                  <c:v>10.08065853620154</c:v>
                </c:pt>
                <c:pt idx="69">
                  <c:v>9.7939375811352303</c:v>
                </c:pt>
                <c:pt idx="70">
                  <c:v>9.5005256459807406</c:v>
                </c:pt>
                <c:pt idx="71">
                  <c:v>9.2018619489123772</c:v>
                </c:pt>
                <c:pt idx="72">
                  <c:v>8.8993749000154487</c:v>
                </c:pt>
                <c:pt idx="73">
                  <c:v>8.5944675331605431</c:v>
                </c:pt>
                <c:pt idx="74">
                  <c:v>8.288503806608011</c:v>
                </c:pt>
                <c:pt idx="75">
                  <c:v>7.9827960064798669</c:v>
                </c:pt>
                <c:pt idx="76">
                  <c:v>7.6785934521341641</c:v>
                </c:pt>
                <c:pt idx="77">
                  <c:v>7.3770726626483301</c:v>
                </c:pt>
                <c:pt idx="78">
                  <c:v>7.0793291006695984</c:v>
                </c:pt>
                <c:pt idx="79">
                  <c:v>6.7863705655015574</c:v>
                </c:pt>
                <c:pt idx="80">
                  <c:v>6.4991122631406171</c:v>
                </c:pt>
                <c:pt idx="81">
                  <c:v>6.2183735386412451</c:v>
                </c:pt>
                <c:pt idx="82">
                  <c:v>5.9448762170892007</c:v>
                </c:pt>
                <c:pt idx="83">
                  <c:v>5.6792444647864508</c:v>
                </c:pt>
                <c:pt idx="84">
                  <c:v>5.4220060529190848</c:v>
                </c:pt>
                <c:pt idx="85">
                  <c:v>5.1735948826007494</c:v>
                </c:pt>
                <c:pt idx="86">
                  <c:v>4.9343546130706946</c:v>
                </c:pt>
                <c:pt idx="87">
                  <c:v>4.7045432239855218</c:v>
                </c:pt>
                <c:pt idx="88">
                  <c:v>4.4843383379271948</c:v>
                </c:pt>
                <c:pt idx="89">
                  <c:v>4.2738431299678865</c:v>
                </c:pt>
                <c:pt idx="90">
                  <c:v>4.0730926567325012</c:v>
                </c:pt>
                <c:pt idx="91">
                  <c:v>3.8820604470946183</c:v>
                </c:pt>
                <c:pt idx="92">
                  <c:v>3.7006652095838062</c:v>
                </c:pt>
                <c:pt idx="93">
                  <c:v>3.5287775268990162</c:v>
                </c:pt>
                <c:pt idx="94">
                  <c:v>3.3662264247752858</c:v>
                </c:pt>
                <c:pt idx="95">
                  <c:v>3.2128057200536038</c:v>
                </c:pt>
                <c:pt idx="96">
                  <c:v>3.0682800704702946</c:v>
                </c:pt>
                <c:pt idx="97">
                  <c:v>2.9323906658250984</c:v>
                </c:pt>
                <c:pt idx="98">
                  <c:v>2.8048605163402653</c:v>
                </c:pt>
                <c:pt idx="99">
                  <c:v>2.685399308833416</c:v>
                </c:pt>
                <c:pt idx="100">
                  <c:v>2.5737078145564674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107952</xdr:colOff>
      <xdr:row>0</xdr:row>
      <xdr:rowOff>82550</xdr:rowOff>
    </xdr:from>
    <xdr:to>
      <xdr:col>12</xdr:col>
      <xdr:colOff>520697</xdr:colOff>
      <xdr:row>26</xdr:row>
      <xdr:rowOff>149619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2" y="82550"/>
          <a:ext cx="8337545" cy="468986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50801</xdr:rowOff>
    </xdr:from>
    <xdr:to>
      <xdr:col>12</xdr:col>
      <xdr:colOff>177798</xdr:colOff>
      <xdr:row>27</xdr:row>
      <xdr:rowOff>18652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50801"/>
          <a:ext cx="8477248" cy="476845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workbookViewId="0">
      <selection activeCell="O17" sqref="O17"/>
    </sheetView>
  </sheetViews>
  <sheetFormatPr defaultRowHeight="14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O501"/>
  <sheetViews>
    <sheetView workbookViewId="0">
      <selection activeCell="L2" sqref="L2"/>
    </sheetView>
  </sheetViews>
  <sheetFormatPr defaultRowHeight="14" x14ac:dyDescent="0.3"/>
  <cols>
    <col min="1" max="4" width="12.58203125" style="1" customWidth="1"/>
    <col min="5" max="5" width="1.58203125" style="4" customWidth="1"/>
    <col min="6" max="6" width="1.58203125" style="5" customWidth="1"/>
    <col min="7" max="7" width="1.58203125" style="6" customWidth="1"/>
    <col min="8" max="9" width="12.1640625" style="19" customWidth="1"/>
    <col min="10" max="10" width="10.75" style="19" customWidth="1"/>
    <col min="11" max="11" width="11.1640625" style="19" customWidth="1"/>
    <col min="12" max="12" width="11.4140625" style="19" customWidth="1"/>
    <col min="13" max="13" width="12.1640625" style="19" customWidth="1"/>
    <col min="14" max="14" width="14.6640625" style="20" customWidth="1"/>
    <col min="15" max="15" width="14.08203125" customWidth="1"/>
  </cols>
  <sheetData>
    <row r="1" spans="1:15" ht="16.5" x14ac:dyDescent="0.3">
      <c r="A1" s="2" t="s">
        <v>0</v>
      </c>
      <c r="B1" s="2" t="s">
        <v>1</v>
      </c>
      <c r="C1" s="2" t="s">
        <v>3</v>
      </c>
      <c r="D1" s="2" t="s">
        <v>4</v>
      </c>
      <c r="H1" s="17" t="s">
        <v>17</v>
      </c>
      <c r="I1" s="17" t="s">
        <v>18</v>
      </c>
      <c r="J1" s="17" t="s">
        <v>19</v>
      </c>
      <c r="K1" s="17" t="s">
        <v>20</v>
      </c>
      <c r="L1" s="17" t="s">
        <v>21</v>
      </c>
      <c r="M1" s="17" t="s">
        <v>22</v>
      </c>
      <c r="N1" s="18" t="s">
        <v>23</v>
      </c>
      <c r="O1" s="17" t="s">
        <v>24</v>
      </c>
    </row>
    <row r="2" spans="1:15" x14ac:dyDescent="0.3">
      <c r="A2" s="15">
        <v>300</v>
      </c>
      <c r="B2" s="15">
        <v>0.2</v>
      </c>
      <c r="C2" s="15">
        <v>400</v>
      </c>
      <c r="D2" s="15">
        <v>31.722999999999999</v>
      </c>
      <c r="H2" s="21">
        <f>IF(AND(B2&lt;&gt;"",D2&lt;&gt;""),D2/1.6021766341/B2,"")</f>
        <v>98.99969617838029</v>
      </c>
      <c r="I2" s="21">
        <f>IF(AND(B2&lt;&gt;"",D2&lt;&gt;"",C2&lt;&gt;""),D2*C2^2*0.000001,"")</f>
        <v>5.0756800000000002</v>
      </c>
      <c r="J2" s="21">
        <f>IF(AND(A2&lt;&gt;"",B2&lt;&gt;"",C2&lt;&gt;""),(B2/2.509412225*(EXP(ABS(C2)/86.17333262-2)-1.075*EXP(-2)))^(2/3)*300/A2,"")</f>
        <v>1.0702964021315875</v>
      </c>
      <c r="K2" s="21">
        <f>IF(J2&lt;&gt;"",H2*(1+(J2*A2/300)^(-3/2)*B2/(2*2.509412225))^(1/3),"")</f>
        <v>100.17336613031438</v>
      </c>
      <c r="L2" s="21">
        <f>IF(AND(A2&lt;&gt;"",M2&lt;&gt;""),M2*(300/A2)^(3/2),"")</f>
        <v>110.91961817678342</v>
      </c>
      <c r="M2" s="21">
        <f>IF(AND(C2&lt;&gt;"",D2&lt;&gt;""),D2/4.02052163221989*(EXP(C2/86.17333262-2)-1.075*EXP(-2))*(1+0.5/(EXP(C2/86.17333262-2)-1.075*EXP(-2)))^(1/3),"")</f>
        <v>110.91961817678342</v>
      </c>
      <c r="N2" s="22">
        <f>IF(M2&lt;&gt;"",0.12122458*M2,"")</f>
        <v>13.446184127240935</v>
      </c>
      <c r="O2" s="23">
        <f>IF(AND(B2&lt;&gt;"",C2&lt;&gt;""),1.255*B2*(EXP(C2/86.17333262-2)-1.075*EXP(-2)),"")</f>
        <v>3.4871596715761664</v>
      </c>
    </row>
    <row r="3" spans="1:15" x14ac:dyDescent="0.3">
      <c r="H3" s="19" t="str">
        <f t="shared" ref="H3:H66" si="0">IF(AND(B3&lt;&gt;"",D3&lt;&gt;""),D3/1.6021766341/B3,"")</f>
        <v/>
      </c>
      <c r="I3" s="19" t="str">
        <f t="shared" ref="I3:I66" si="1">IF(AND(B3&lt;&gt;"",D3&lt;&gt;"",C3&lt;&gt;""),D3*C3^2*0.000001,"")</f>
        <v/>
      </c>
      <c r="J3" s="19" t="str">
        <f t="shared" ref="J3:J66" si="2">IF(AND(A3&lt;&gt;"",B3&lt;&gt;"",C3&lt;&gt;""),(B3/2.509412225*(EXP(C3/86.17333262-2)-1.075*EXP(-2)))^(2/3)*300/A3,"")</f>
        <v/>
      </c>
      <c r="K3" s="19" t="str">
        <f t="shared" ref="K3:K66" si="3">IF(J3&lt;&gt;"",H3*(1+(J3*A3/300)^(-3/2)*B3/(2*2.509412225))^(1/3),"")</f>
        <v/>
      </c>
      <c r="L3" s="19" t="str">
        <f t="shared" ref="L3:L66" si="4">IF(AND(A3&lt;&gt;"",M3&lt;&gt;""),M3*(300/A3)^(3/2),"")</f>
        <v/>
      </c>
      <c r="M3" s="19" t="str">
        <f t="shared" ref="M3:M66" si="5">IF(AND(C3&lt;&gt;"",D3&lt;&gt;""),D3/4.02052163221989*(EXP(C3/86.17333262-2)-1.075*EXP(-2))*(1+0.5/(EXP(C3/86.17333262-2)-1.075*EXP(-2)))^(1/3),"")</f>
        <v/>
      </c>
      <c r="N3" s="20" t="str">
        <f t="shared" ref="N3:N66" si="6">IF(M3&lt;&gt;"",0.12122458*M3,"")</f>
        <v/>
      </c>
      <c r="O3" t="str">
        <f t="shared" ref="O3:O66" si="7">IF(AND(B3&lt;&gt;"",C3&lt;&gt;""),1.255*B3*(EXP(C3/86.17333262-2)-1.075*EXP(-2)),"")</f>
        <v/>
      </c>
    </row>
    <row r="4" spans="1:15" x14ac:dyDescent="0.3">
      <c r="H4" s="19" t="str">
        <f t="shared" si="0"/>
        <v/>
      </c>
      <c r="I4" s="19" t="str">
        <f t="shared" si="1"/>
        <v/>
      </c>
      <c r="J4" s="19" t="str">
        <f t="shared" si="2"/>
        <v/>
      </c>
      <c r="K4" s="19" t="str">
        <f t="shared" si="3"/>
        <v/>
      </c>
      <c r="L4" s="19" t="str">
        <f t="shared" si="4"/>
        <v/>
      </c>
      <c r="M4" s="19" t="str">
        <f t="shared" si="5"/>
        <v/>
      </c>
      <c r="N4" s="20" t="str">
        <f t="shared" si="6"/>
        <v/>
      </c>
      <c r="O4" t="str">
        <f t="shared" si="7"/>
        <v/>
      </c>
    </row>
    <row r="5" spans="1:15" x14ac:dyDescent="0.3">
      <c r="H5" s="19" t="str">
        <f t="shared" si="0"/>
        <v/>
      </c>
      <c r="I5" s="19" t="str">
        <f t="shared" si="1"/>
        <v/>
      </c>
      <c r="J5" s="19" t="str">
        <f t="shared" si="2"/>
        <v/>
      </c>
      <c r="K5" s="19" t="str">
        <f t="shared" si="3"/>
        <v/>
      </c>
      <c r="L5" s="19" t="str">
        <f t="shared" si="4"/>
        <v/>
      </c>
      <c r="M5" s="19" t="str">
        <f t="shared" si="5"/>
        <v/>
      </c>
      <c r="N5" s="20" t="str">
        <f t="shared" si="6"/>
        <v/>
      </c>
      <c r="O5" t="str">
        <f t="shared" si="7"/>
        <v/>
      </c>
    </row>
    <row r="6" spans="1:15" x14ac:dyDescent="0.3">
      <c r="H6" s="19" t="str">
        <f t="shared" si="0"/>
        <v/>
      </c>
      <c r="I6" s="19" t="str">
        <f t="shared" si="1"/>
        <v/>
      </c>
      <c r="J6" s="19" t="str">
        <f t="shared" si="2"/>
        <v/>
      </c>
      <c r="K6" s="19" t="str">
        <f t="shared" si="3"/>
        <v/>
      </c>
      <c r="L6" s="19" t="str">
        <f t="shared" si="4"/>
        <v/>
      </c>
      <c r="M6" s="19" t="str">
        <f t="shared" si="5"/>
        <v/>
      </c>
      <c r="N6" s="20" t="str">
        <f t="shared" si="6"/>
        <v/>
      </c>
      <c r="O6" t="str">
        <f t="shared" si="7"/>
        <v/>
      </c>
    </row>
    <row r="7" spans="1:15" x14ac:dyDescent="0.3">
      <c r="H7" s="19" t="str">
        <f t="shared" si="0"/>
        <v/>
      </c>
      <c r="I7" s="19" t="str">
        <f t="shared" si="1"/>
        <v/>
      </c>
      <c r="J7" s="19" t="str">
        <f t="shared" si="2"/>
        <v/>
      </c>
      <c r="K7" s="19" t="str">
        <f t="shared" si="3"/>
        <v/>
      </c>
      <c r="L7" s="19" t="str">
        <f t="shared" si="4"/>
        <v/>
      </c>
      <c r="M7" s="19" t="str">
        <f t="shared" si="5"/>
        <v/>
      </c>
      <c r="N7" s="20" t="str">
        <f t="shared" si="6"/>
        <v/>
      </c>
      <c r="O7" t="str">
        <f t="shared" si="7"/>
        <v/>
      </c>
    </row>
    <row r="8" spans="1:15" x14ac:dyDescent="0.3">
      <c r="H8" s="19" t="str">
        <f t="shared" si="0"/>
        <v/>
      </c>
      <c r="I8" s="19" t="str">
        <f t="shared" si="1"/>
        <v/>
      </c>
      <c r="J8" s="19" t="str">
        <f t="shared" si="2"/>
        <v/>
      </c>
      <c r="K8" s="19" t="str">
        <f t="shared" si="3"/>
        <v/>
      </c>
      <c r="L8" s="19" t="str">
        <f t="shared" si="4"/>
        <v/>
      </c>
      <c r="M8" s="19" t="str">
        <f t="shared" si="5"/>
        <v/>
      </c>
      <c r="N8" s="20" t="str">
        <f t="shared" si="6"/>
        <v/>
      </c>
      <c r="O8" t="str">
        <f t="shared" si="7"/>
        <v/>
      </c>
    </row>
    <row r="9" spans="1:15" x14ac:dyDescent="0.3">
      <c r="H9" s="19" t="str">
        <f t="shared" si="0"/>
        <v/>
      </c>
      <c r="I9" s="19" t="str">
        <f t="shared" si="1"/>
        <v/>
      </c>
      <c r="J9" s="19" t="str">
        <f t="shared" si="2"/>
        <v/>
      </c>
      <c r="K9" s="19" t="str">
        <f t="shared" si="3"/>
        <v/>
      </c>
      <c r="L9" s="19" t="str">
        <f t="shared" si="4"/>
        <v/>
      </c>
      <c r="M9" s="19" t="str">
        <f t="shared" si="5"/>
        <v/>
      </c>
      <c r="N9" s="20" t="str">
        <f t="shared" si="6"/>
        <v/>
      </c>
      <c r="O9" t="str">
        <f t="shared" si="7"/>
        <v/>
      </c>
    </row>
    <row r="10" spans="1:15" x14ac:dyDescent="0.3">
      <c r="H10" s="19" t="str">
        <f t="shared" si="0"/>
        <v/>
      </c>
      <c r="I10" s="19" t="str">
        <f t="shared" si="1"/>
        <v/>
      </c>
      <c r="J10" s="19" t="str">
        <f t="shared" si="2"/>
        <v/>
      </c>
      <c r="K10" s="19" t="str">
        <f t="shared" si="3"/>
        <v/>
      </c>
      <c r="L10" s="19" t="str">
        <f t="shared" si="4"/>
        <v/>
      </c>
      <c r="M10" s="19" t="str">
        <f t="shared" si="5"/>
        <v/>
      </c>
      <c r="N10" s="20" t="str">
        <f t="shared" si="6"/>
        <v/>
      </c>
      <c r="O10" t="str">
        <f t="shared" si="7"/>
        <v/>
      </c>
    </row>
    <row r="11" spans="1:15" x14ac:dyDescent="0.3">
      <c r="H11" s="19" t="str">
        <f t="shared" si="0"/>
        <v/>
      </c>
      <c r="I11" s="19" t="str">
        <f t="shared" si="1"/>
        <v/>
      </c>
      <c r="J11" s="19" t="str">
        <f t="shared" si="2"/>
        <v/>
      </c>
      <c r="K11" s="19" t="str">
        <f t="shared" si="3"/>
        <v/>
      </c>
      <c r="L11" s="19" t="str">
        <f t="shared" si="4"/>
        <v/>
      </c>
      <c r="M11" s="19" t="str">
        <f t="shared" si="5"/>
        <v/>
      </c>
      <c r="N11" s="20" t="str">
        <f t="shared" si="6"/>
        <v/>
      </c>
      <c r="O11" t="str">
        <f t="shared" si="7"/>
        <v/>
      </c>
    </row>
    <row r="12" spans="1:15" x14ac:dyDescent="0.3">
      <c r="H12" s="19" t="str">
        <f t="shared" si="0"/>
        <v/>
      </c>
      <c r="I12" s="19" t="str">
        <f t="shared" si="1"/>
        <v/>
      </c>
      <c r="J12" s="19" t="str">
        <f t="shared" si="2"/>
        <v/>
      </c>
      <c r="K12" s="19" t="str">
        <f t="shared" si="3"/>
        <v/>
      </c>
      <c r="L12" s="19" t="str">
        <f t="shared" si="4"/>
        <v/>
      </c>
      <c r="M12" s="19" t="str">
        <f t="shared" si="5"/>
        <v/>
      </c>
      <c r="N12" s="20" t="str">
        <f t="shared" si="6"/>
        <v/>
      </c>
      <c r="O12" t="str">
        <f t="shared" si="7"/>
        <v/>
      </c>
    </row>
    <row r="13" spans="1:15" x14ac:dyDescent="0.3">
      <c r="H13" s="19" t="str">
        <f t="shared" si="0"/>
        <v/>
      </c>
      <c r="I13" s="19" t="str">
        <f t="shared" si="1"/>
        <v/>
      </c>
      <c r="J13" s="19" t="str">
        <f t="shared" si="2"/>
        <v/>
      </c>
      <c r="K13" s="19" t="str">
        <f t="shared" si="3"/>
        <v/>
      </c>
      <c r="L13" s="19" t="str">
        <f t="shared" si="4"/>
        <v/>
      </c>
      <c r="M13" s="19" t="str">
        <f t="shared" si="5"/>
        <v/>
      </c>
      <c r="N13" s="20" t="str">
        <f t="shared" si="6"/>
        <v/>
      </c>
      <c r="O13" t="str">
        <f t="shared" si="7"/>
        <v/>
      </c>
    </row>
    <row r="14" spans="1:15" x14ac:dyDescent="0.3">
      <c r="H14" s="19" t="str">
        <f t="shared" si="0"/>
        <v/>
      </c>
      <c r="I14" s="19" t="str">
        <f t="shared" si="1"/>
        <v/>
      </c>
      <c r="J14" s="19" t="str">
        <f t="shared" si="2"/>
        <v/>
      </c>
      <c r="K14" s="19" t="str">
        <f t="shared" si="3"/>
        <v/>
      </c>
      <c r="L14" s="19" t="str">
        <f t="shared" si="4"/>
        <v/>
      </c>
      <c r="M14" s="19" t="str">
        <f t="shared" si="5"/>
        <v/>
      </c>
      <c r="N14" s="20" t="str">
        <f t="shared" si="6"/>
        <v/>
      </c>
      <c r="O14" t="str">
        <f t="shared" si="7"/>
        <v/>
      </c>
    </row>
    <row r="15" spans="1:15" x14ac:dyDescent="0.3">
      <c r="H15" s="19" t="str">
        <f t="shared" si="0"/>
        <v/>
      </c>
      <c r="I15" s="19" t="str">
        <f t="shared" si="1"/>
        <v/>
      </c>
      <c r="J15" s="19" t="str">
        <f t="shared" si="2"/>
        <v/>
      </c>
      <c r="K15" s="19" t="str">
        <f t="shared" si="3"/>
        <v/>
      </c>
      <c r="L15" s="19" t="str">
        <f t="shared" si="4"/>
        <v/>
      </c>
      <c r="M15" s="19" t="str">
        <f t="shared" si="5"/>
        <v/>
      </c>
      <c r="N15" s="20" t="str">
        <f t="shared" si="6"/>
        <v/>
      </c>
      <c r="O15" t="str">
        <f t="shared" si="7"/>
        <v/>
      </c>
    </row>
    <row r="16" spans="1:15" x14ac:dyDescent="0.3">
      <c r="H16" s="19" t="str">
        <f t="shared" si="0"/>
        <v/>
      </c>
      <c r="I16" s="19" t="str">
        <f t="shared" si="1"/>
        <v/>
      </c>
      <c r="J16" s="19" t="str">
        <f t="shared" si="2"/>
        <v/>
      </c>
      <c r="K16" s="19" t="str">
        <f t="shared" si="3"/>
        <v/>
      </c>
      <c r="L16" s="19" t="str">
        <f t="shared" si="4"/>
        <v/>
      </c>
      <c r="M16" s="19" t="str">
        <f t="shared" si="5"/>
        <v/>
      </c>
      <c r="N16" s="20" t="str">
        <f t="shared" si="6"/>
        <v/>
      </c>
      <c r="O16" t="str">
        <f t="shared" si="7"/>
        <v/>
      </c>
    </row>
    <row r="17" spans="8:15" x14ac:dyDescent="0.3">
      <c r="H17" s="19" t="str">
        <f t="shared" si="0"/>
        <v/>
      </c>
      <c r="I17" s="19" t="str">
        <f t="shared" si="1"/>
        <v/>
      </c>
      <c r="J17" s="19" t="str">
        <f t="shared" si="2"/>
        <v/>
      </c>
      <c r="K17" s="19" t="str">
        <f t="shared" si="3"/>
        <v/>
      </c>
      <c r="L17" s="19" t="str">
        <f t="shared" si="4"/>
        <v/>
      </c>
      <c r="M17" s="19" t="str">
        <f t="shared" si="5"/>
        <v/>
      </c>
      <c r="N17" s="20" t="str">
        <f t="shared" si="6"/>
        <v/>
      </c>
      <c r="O17" t="str">
        <f t="shared" si="7"/>
        <v/>
      </c>
    </row>
    <row r="18" spans="8:15" x14ac:dyDescent="0.3">
      <c r="H18" s="19" t="str">
        <f t="shared" si="0"/>
        <v/>
      </c>
      <c r="I18" s="19" t="str">
        <f t="shared" si="1"/>
        <v/>
      </c>
      <c r="J18" s="19" t="str">
        <f t="shared" si="2"/>
        <v/>
      </c>
      <c r="K18" s="19" t="str">
        <f t="shared" si="3"/>
        <v/>
      </c>
      <c r="L18" s="19" t="str">
        <f t="shared" si="4"/>
        <v/>
      </c>
      <c r="M18" s="19" t="str">
        <f t="shared" si="5"/>
        <v/>
      </c>
      <c r="N18" s="20" t="str">
        <f t="shared" si="6"/>
        <v/>
      </c>
      <c r="O18" t="str">
        <f t="shared" si="7"/>
        <v/>
      </c>
    </row>
    <row r="19" spans="8:15" x14ac:dyDescent="0.3">
      <c r="H19" s="19" t="str">
        <f t="shared" si="0"/>
        <v/>
      </c>
      <c r="I19" s="19" t="str">
        <f t="shared" si="1"/>
        <v/>
      </c>
      <c r="J19" s="19" t="str">
        <f t="shared" si="2"/>
        <v/>
      </c>
      <c r="K19" s="19" t="str">
        <f t="shared" si="3"/>
        <v/>
      </c>
      <c r="L19" s="19" t="str">
        <f t="shared" si="4"/>
        <v/>
      </c>
      <c r="M19" s="19" t="str">
        <f t="shared" si="5"/>
        <v/>
      </c>
      <c r="N19" s="20" t="str">
        <f t="shared" si="6"/>
        <v/>
      </c>
      <c r="O19" t="str">
        <f t="shared" si="7"/>
        <v/>
      </c>
    </row>
    <row r="20" spans="8:15" x14ac:dyDescent="0.3">
      <c r="H20" s="19" t="str">
        <f t="shared" si="0"/>
        <v/>
      </c>
      <c r="I20" s="19" t="str">
        <f t="shared" si="1"/>
        <v/>
      </c>
      <c r="J20" s="19" t="str">
        <f t="shared" si="2"/>
        <v/>
      </c>
      <c r="K20" s="19" t="str">
        <f t="shared" si="3"/>
        <v/>
      </c>
      <c r="L20" s="19" t="str">
        <f t="shared" si="4"/>
        <v/>
      </c>
      <c r="M20" s="19" t="str">
        <f t="shared" si="5"/>
        <v/>
      </c>
      <c r="N20" s="20" t="str">
        <f t="shared" si="6"/>
        <v/>
      </c>
      <c r="O20" t="str">
        <f t="shared" si="7"/>
        <v/>
      </c>
    </row>
    <row r="21" spans="8:15" x14ac:dyDescent="0.3">
      <c r="H21" s="19" t="str">
        <f t="shared" si="0"/>
        <v/>
      </c>
      <c r="I21" s="19" t="str">
        <f t="shared" si="1"/>
        <v/>
      </c>
      <c r="J21" s="19" t="str">
        <f t="shared" si="2"/>
        <v/>
      </c>
      <c r="K21" s="19" t="str">
        <f t="shared" si="3"/>
        <v/>
      </c>
      <c r="L21" s="19" t="str">
        <f t="shared" si="4"/>
        <v/>
      </c>
      <c r="M21" s="19" t="str">
        <f t="shared" si="5"/>
        <v/>
      </c>
      <c r="N21" s="20" t="str">
        <f t="shared" si="6"/>
        <v/>
      </c>
      <c r="O21" t="str">
        <f t="shared" si="7"/>
        <v/>
      </c>
    </row>
    <row r="22" spans="8:15" x14ac:dyDescent="0.3">
      <c r="H22" s="19" t="str">
        <f t="shared" si="0"/>
        <v/>
      </c>
      <c r="I22" s="19" t="str">
        <f t="shared" si="1"/>
        <v/>
      </c>
      <c r="J22" s="19" t="str">
        <f t="shared" si="2"/>
        <v/>
      </c>
      <c r="K22" s="19" t="str">
        <f t="shared" si="3"/>
        <v/>
      </c>
      <c r="L22" s="19" t="str">
        <f t="shared" si="4"/>
        <v/>
      </c>
      <c r="M22" s="19" t="str">
        <f t="shared" si="5"/>
        <v/>
      </c>
      <c r="N22" s="20" t="str">
        <f t="shared" si="6"/>
        <v/>
      </c>
      <c r="O22" t="str">
        <f t="shared" si="7"/>
        <v/>
      </c>
    </row>
    <row r="23" spans="8:15" x14ac:dyDescent="0.3">
      <c r="H23" s="19" t="str">
        <f t="shared" si="0"/>
        <v/>
      </c>
      <c r="I23" s="19" t="str">
        <f t="shared" si="1"/>
        <v/>
      </c>
      <c r="J23" s="19" t="str">
        <f t="shared" si="2"/>
        <v/>
      </c>
      <c r="K23" s="19" t="str">
        <f t="shared" si="3"/>
        <v/>
      </c>
      <c r="L23" s="19" t="str">
        <f t="shared" si="4"/>
        <v/>
      </c>
      <c r="M23" s="19" t="str">
        <f t="shared" si="5"/>
        <v/>
      </c>
      <c r="N23" s="20" t="str">
        <f t="shared" si="6"/>
        <v/>
      </c>
      <c r="O23" t="str">
        <f t="shared" si="7"/>
        <v/>
      </c>
    </row>
    <row r="24" spans="8:15" x14ac:dyDescent="0.3">
      <c r="H24" s="19" t="str">
        <f t="shared" si="0"/>
        <v/>
      </c>
      <c r="I24" s="19" t="str">
        <f t="shared" si="1"/>
        <v/>
      </c>
      <c r="J24" s="19" t="str">
        <f t="shared" si="2"/>
        <v/>
      </c>
      <c r="K24" s="19" t="str">
        <f t="shared" si="3"/>
        <v/>
      </c>
      <c r="L24" s="19" t="str">
        <f t="shared" si="4"/>
        <v/>
      </c>
      <c r="M24" s="19" t="str">
        <f t="shared" si="5"/>
        <v/>
      </c>
      <c r="N24" s="20" t="str">
        <f t="shared" si="6"/>
        <v/>
      </c>
      <c r="O24" t="str">
        <f t="shared" si="7"/>
        <v/>
      </c>
    </row>
    <row r="25" spans="8:15" x14ac:dyDescent="0.3">
      <c r="H25" s="19" t="str">
        <f t="shared" si="0"/>
        <v/>
      </c>
      <c r="I25" s="19" t="str">
        <f t="shared" si="1"/>
        <v/>
      </c>
      <c r="J25" s="19" t="str">
        <f t="shared" si="2"/>
        <v/>
      </c>
      <c r="K25" s="19" t="str">
        <f t="shared" si="3"/>
        <v/>
      </c>
      <c r="L25" s="19" t="str">
        <f t="shared" si="4"/>
        <v/>
      </c>
      <c r="M25" s="19" t="str">
        <f t="shared" si="5"/>
        <v/>
      </c>
      <c r="N25" s="20" t="str">
        <f t="shared" si="6"/>
        <v/>
      </c>
      <c r="O25" t="str">
        <f t="shared" si="7"/>
        <v/>
      </c>
    </row>
    <row r="26" spans="8:15" x14ac:dyDescent="0.3">
      <c r="H26" s="19" t="str">
        <f t="shared" si="0"/>
        <v/>
      </c>
      <c r="I26" s="19" t="str">
        <f t="shared" si="1"/>
        <v/>
      </c>
      <c r="J26" s="19" t="str">
        <f t="shared" si="2"/>
        <v/>
      </c>
      <c r="K26" s="19" t="str">
        <f t="shared" si="3"/>
        <v/>
      </c>
      <c r="L26" s="19" t="str">
        <f t="shared" si="4"/>
        <v/>
      </c>
      <c r="M26" s="19" t="str">
        <f t="shared" si="5"/>
        <v/>
      </c>
      <c r="N26" s="20" t="str">
        <f t="shared" si="6"/>
        <v/>
      </c>
      <c r="O26" t="str">
        <f t="shared" si="7"/>
        <v/>
      </c>
    </row>
    <row r="27" spans="8:15" x14ac:dyDescent="0.3">
      <c r="H27" s="19" t="str">
        <f t="shared" si="0"/>
        <v/>
      </c>
      <c r="I27" s="19" t="str">
        <f t="shared" si="1"/>
        <v/>
      </c>
      <c r="J27" s="19" t="str">
        <f t="shared" si="2"/>
        <v/>
      </c>
      <c r="K27" s="19" t="str">
        <f t="shared" si="3"/>
        <v/>
      </c>
      <c r="L27" s="19" t="str">
        <f t="shared" si="4"/>
        <v/>
      </c>
      <c r="M27" s="19" t="str">
        <f t="shared" si="5"/>
        <v/>
      </c>
      <c r="N27" s="20" t="str">
        <f t="shared" si="6"/>
        <v/>
      </c>
      <c r="O27" t="str">
        <f t="shared" si="7"/>
        <v/>
      </c>
    </row>
    <row r="28" spans="8:15" x14ac:dyDescent="0.3">
      <c r="H28" s="19" t="str">
        <f t="shared" si="0"/>
        <v/>
      </c>
      <c r="I28" s="19" t="str">
        <f t="shared" si="1"/>
        <v/>
      </c>
      <c r="J28" s="19" t="str">
        <f t="shared" si="2"/>
        <v/>
      </c>
      <c r="K28" s="19" t="str">
        <f t="shared" si="3"/>
        <v/>
      </c>
      <c r="L28" s="19" t="str">
        <f t="shared" si="4"/>
        <v/>
      </c>
      <c r="M28" s="19" t="str">
        <f t="shared" si="5"/>
        <v/>
      </c>
      <c r="N28" s="20" t="str">
        <f t="shared" si="6"/>
        <v/>
      </c>
      <c r="O28" t="str">
        <f t="shared" si="7"/>
        <v/>
      </c>
    </row>
    <row r="29" spans="8:15" x14ac:dyDescent="0.3"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  <c r="L29" s="19" t="str">
        <f t="shared" si="4"/>
        <v/>
      </c>
      <c r="M29" s="19" t="str">
        <f t="shared" si="5"/>
        <v/>
      </c>
      <c r="N29" s="20" t="str">
        <f t="shared" si="6"/>
        <v/>
      </c>
      <c r="O29" t="str">
        <f t="shared" si="7"/>
        <v/>
      </c>
    </row>
    <row r="30" spans="8:15" x14ac:dyDescent="0.3">
      <c r="H30" s="19" t="str">
        <f t="shared" si="0"/>
        <v/>
      </c>
      <c r="I30" s="19" t="str">
        <f t="shared" si="1"/>
        <v/>
      </c>
      <c r="J30" s="19" t="str">
        <f t="shared" si="2"/>
        <v/>
      </c>
      <c r="K30" s="19" t="str">
        <f t="shared" si="3"/>
        <v/>
      </c>
      <c r="L30" s="19" t="str">
        <f t="shared" si="4"/>
        <v/>
      </c>
      <c r="M30" s="19" t="str">
        <f t="shared" si="5"/>
        <v/>
      </c>
      <c r="N30" s="20" t="str">
        <f t="shared" si="6"/>
        <v/>
      </c>
      <c r="O30" t="str">
        <f t="shared" si="7"/>
        <v/>
      </c>
    </row>
    <row r="31" spans="8:15" x14ac:dyDescent="0.3">
      <c r="H31" s="19" t="str">
        <f t="shared" si="0"/>
        <v/>
      </c>
      <c r="I31" s="19" t="str">
        <f t="shared" si="1"/>
        <v/>
      </c>
      <c r="J31" s="19" t="str">
        <f t="shared" si="2"/>
        <v/>
      </c>
      <c r="K31" s="19" t="str">
        <f t="shared" si="3"/>
        <v/>
      </c>
      <c r="L31" s="19" t="str">
        <f t="shared" si="4"/>
        <v/>
      </c>
      <c r="M31" s="19" t="str">
        <f t="shared" si="5"/>
        <v/>
      </c>
      <c r="N31" s="20" t="str">
        <f t="shared" si="6"/>
        <v/>
      </c>
      <c r="O31" t="str">
        <f t="shared" si="7"/>
        <v/>
      </c>
    </row>
    <row r="32" spans="8:15" x14ac:dyDescent="0.3"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  <c r="L32" s="19" t="str">
        <f t="shared" si="4"/>
        <v/>
      </c>
      <c r="M32" s="19" t="str">
        <f t="shared" si="5"/>
        <v/>
      </c>
      <c r="N32" s="20" t="str">
        <f t="shared" si="6"/>
        <v/>
      </c>
      <c r="O32" t="str">
        <f t="shared" si="7"/>
        <v/>
      </c>
    </row>
    <row r="33" spans="8:15" x14ac:dyDescent="0.3">
      <c r="H33" s="19" t="str">
        <f t="shared" si="0"/>
        <v/>
      </c>
      <c r="I33" s="19" t="str">
        <f t="shared" si="1"/>
        <v/>
      </c>
      <c r="J33" s="19" t="str">
        <f t="shared" si="2"/>
        <v/>
      </c>
      <c r="K33" s="19" t="str">
        <f t="shared" si="3"/>
        <v/>
      </c>
      <c r="L33" s="19" t="str">
        <f t="shared" si="4"/>
        <v/>
      </c>
      <c r="M33" s="19" t="str">
        <f t="shared" si="5"/>
        <v/>
      </c>
      <c r="N33" s="20" t="str">
        <f t="shared" si="6"/>
        <v/>
      </c>
      <c r="O33" t="str">
        <f t="shared" si="7"/>
        <v/>
      </c>
    </row>
    <row r="34" spans="8:15" x14ac:dyDescent="0.3">
      <c r="H34" s="19" t="str">
        <f t="shared" si="0"/>
        <v/>
      </c>
      <c r="I34" s="19" t="str">
        <f t="shared" si="1"/>
        <v/>
      </c>
      <c r="J34" s="19" t="str">
        <f t="shared" si="2"/>
        <v/>
      </c>
      <c r="K34" s="19" t="str">
        <f t="shared" si="3"/>
        <v/>
      </c>
      <c r="L34" s="19" t="str">
        <f t="shared" si="4"/>
        <v/>
      </c>
      <c r="M34" s="19" t="str">
        <f t="shared" si="5"/>
        <v/>
      </c>
      <c r="N34" s="20" t="str">
        <f t="shared" si="6"/>
        <v/>
      </c>
      <c r="O34" t="str">
        <f t="shared" si="7"/>
        <v/>
      </c>
    </row>
    <row r="35" spans="8:15" x14ac:dyDescent="0.3">
      <c r="H35" s="19" t="str">
        <f t="shared" si="0"/>
        <v/>
      </c>
      <c r="I35" s="19" t="str">
        <f t="shared" si="1"/>
        <v/>
      </c>
      <c r="J35" s="19" t="str">
        <f t="shared" si="2"/>
        <v/>
      </c>
      <c r="K35" s="19" t="str">
        <f t="shared" si="3"/>
        <v/>
      </c>
      <c r="L35" s="19" t="str">
        <f t="shared" si="4"/>
        <v/>
      </c>
      <c r="M35" s="19" t="str">
        <f t="shared" si="5"/>
        <v/>
      </c>
      <c r="N35" s="20" t="str">
        <f t="shared" si="6"/>
        <v/>
      </c>
      <c r="O35" t="str">
        <f t="shared" si="7"/>
        <v/>
      </c>
    </row>
    <row r="36" spans="8:15" x14ac:dyDescent="0.3">
      <c r="H36" s="19" t="str">
        <f t="shared" si="0"/>
        <v/>
      </c>
      <c r="I36" s="19" t="str">
        <f t="shared" si="1"/>
        <v/>
      </c>
      <c r="J36" s="19" t="str">
        <f t="shared" si="2"/>
        <v/>
      </c>
      <c r="K36" s="19" t="str">
        <f t="shared" si="3"/>
        <v/>
      </c>
      <c r="L36" s="19" t="str">
        <f t="shared" si="4"/>
        <v/>
      </c>
      <c r="M36" s="19" t="str">
        <f t="shared" si="5"/>
        <v/>
      </c>
      <c r="N36" s="20" t="str">
        <f t="shared" si="6"/>
        <v/>
      </c>
      <c r="O36" t="str">
        <f t="shared" si="7"/>
        <v/>
      </c>
    </row>
    <row r="37" spans="8:15" x14ac:dyDescent="0.3">
      <c r="H37" s="19" t="str">
        <f t="shared" si="0"/>
        <v/>
      </c>
      <c r="I37" s="19" t="str">
        <f t="shared" si="1"/>
        <v/>
      </c>
      <c r="J37" s="19" t="str">
        <f t="shared" si="2"/>
        <v/>
      </c>
      <c r="K37" s="19" t="str">
        <f t="shared" si="3"/>
        <v/>
      </c>
      <c r="L37" s="19" t="str">
        <f t="shared" si="4"/>
        <v/>
      </c>
      <c r="M37" s="19" t="str">
        <f t="shared" si="5"/>
        <v/>
      </c>
      <c r="N37" s="20" t="str">
        <f t="shared" si="6"/>
        <v/>
      </c>
      <c r="O37" t="str">
        <f t="shared" si="7"/>
        <v/>
      </c>
    </row>
    <row r="38" spans="8:15" x14ac:dyDescent="0.3">
      <c r="H38" s="19" t="str">
        <f t="shared" si="0"/>
        <v/>
      </c>
      <c r="I38" s="19" t="str">
        <f t="shared" si="1"/>
        <v/>
      </c>
      <c r="J38" s="19" t="str">
        <f t="shared" si="2"/>
        <v/>
      </c>
      <c r="K38" s="19" t="str">
        <f t="shared" si="3"/>
        <v/>
      </c>
      <c r="L38" s="19" t="str">
        <f t="shared" si="4"/>
        <v/>
      </c>
      <c r="M38" s="19" t="str">
        <f t="shared" si="5"/>
        <v/>
      </c>
      <c r="N38" s="20" t="str">
        <f t="shared" si="6"/>
        <v/>
      </c>
      <c r="O38" t="str">
        <f t="shared" si="7"/>
        <v/>
      </c>
    </row>
    <row r="39" spans="8:15" x14ac:dyDescent="0.3">
      <c r="H39" s="19" t="str">
        <f t="shared" si="0"/>
        <v/>
      </c>
      <c r="I39" s="19" t="str">
        <f t="shared" si="1"/>
        <v/>
      </c>
      <c r="J39" s="19" t="str">
        <f t="shared" si="2"/>
        <v/>
      </c>
      <c r="K39" s="19" t="str">
        <f t="shared" si="3"/>
        <v/>
      </c>
      <c r="L39" s="19" t="str">
        <f t="shared" si="4"/>
        <v/>
      </c>
      <c r="M39" s="19" t="str">
        <f t="shared" si="5"/>
        <v/>
      </c>
      <c r="N39" s="20" t="str">
        <f t="shared" si="6"/>
        <v/>
      </c>
      <c r="O39" t="str">
        <f t="shared" si="7"/>
        <v/>
      </c>
    </row>
    <row r="40" spans="8:15" x14ac:dyDescent="0.3">
      <c r="H40" s="19" t="str">
        <f t="shared" si="0"/>
        <v/>
      </c>
      <c r="I40" s="19" t="str">
        <f t="shared" si="1"/>
        <v/>
      </c>
      <c r="J40" s="19" t="str">
        <f t="shared" si="2"/>
        <v/>
      </c>
      <c r="K40" s="19" t="str">
        <f t="shared" si="3"/>
        <v/>
      </c>
      <c r="L40" s="19" t="str">
        <f t="shared" si="4"/>
        <v/>
      </c>
      <c r="M40" s="19" t="str">
        <f t="shared" si="5"/>
        <v/>
      </c>
      <c r="N40" s="20" t="str">
        <f t="shared" si="6"/>
        <v/>
      </c>
      <c r="O40" t="str">
        <f t="shared" si="7"/>
        <v/>
      </c>
    </row>
    <row r="41" spans="8:15" x14ac:dyDescent="0.3">
      <c r="H41" s="19" t="str">
        <f t="shared" si="0"/>
        <v/>
      </c>
      <c r="I41" s="19" t="str">
        <f t="shared" si="1"/>
        <v/>
      </c>
      <c r="J41" s="19" t="str">
        <f t="shared" si="2"/>
        <v/>
      </c>
      <c r="K41" s="19" t="str">
        <f t="shared" si="3"/>
        <v/>
      </c>
      <c r="L41" s="19" t="str">
        <f t="shared" si="4"/>
        <v/>
      </c>
      <c r="M41" s="19" t="str">
        <f t="shared" si="5"/>
        <v/>
      </c>
      <c r="N41" s="20" t="str">
        <f t="shared" si="6"/>
        <v/>
      </c>
      <c r="O41" t="str">
        <f t="shared" si="7"/>
        <v/>
      </c>
    </row>
    <row r="42" spans="8:15" x14ac:dyDescent="0.3">
      <c r="H42" s="19" t="str">
        <f t="shared" si="0"/>
        <v/>
      </c>
      <c r="I42" s="19" t="str">
        <f t="shared" si="1"/>
        <v/>
      </c>
      <c r="J42" s="19" t="str">
        <f t="shared" si="2"/>
        <v/>
      </c>
      <c r="K42" s="19" t="str">
        <f t="shared" si="3"/>
        <v/>
      </c>
      <c r="L42" s="19" t="str">
        <f t="shared" si="4"/>
        <v/>
      </c>
      <c r="M42" s="19" t="str">
        <f t="shared" si="5"/>
        <v/>
      </c>
      <c r="N42" s="20" t="str">
        <f t="shared" si="6"/>
        <v/>
      </c>
      <c r="O42" t="str">
        <f t="shared" si="7"/>
        <v/>
      </c>
    </row>
    <row r="43" spans="8:15" x14ac:dyDescent="0.3">
      <c r="H43" s="19" t="str">
        <f t="shared" si="0"/>
        <v/>
      </c>
      <c r="I43" s="19" t="str">
        <f t="shared" si="1"/>
        <v/>
      </c>
      <c r="J43" s="19" t="str">
        <f t="shared" si="2"/>
        <v/>
      </c>
      <c r="K43" s="19" t="str">
        <f t="shared" si="3"/>
        <v/>
      </c>
      <c r="L43" s="19" t="str">
        <f t="shared" si="4"/>
        <v/>
      </c>
      <c r="M43" s="19" t="str">
        <f t="shared" si="5"/>
        <v/>
      </c>
      <c r="N43" s="20" t="str">
        <f t="shared" si="6"/>
        <v/>
      </c>
      <c r="O43" t="str">
        <f t="shared" si="7"/>
        <v/>
      </c>
    </row>
    <row r="44" spans="8:15" x14ac:dyDescent="0.3">
      <c r="H44" s="19" t="str">
        <f t="shared" si="0"/>
        <v/>
      </c>
      <c r="I44" s="19" t="str">
        <f t="shared" si="1"/>
        <v/>
      </c>
      <c r="J44" s="19" t="str">
        <f t="shared" si="2"/>
        <v/>
      </c>
      <c r="K44" s="19" t="str">
        <f t="shared" si="3"/>
        <v/>
      </c>
      <c r="L44" s="19" t="str">
        <f t="shared" si="4"/>
        <v/>
      </c>
      <c r="M44" s="19" t="str">
        <f t="shared" si="5"/>
        <v/>
      </c>
      <c r="N44" s="20" t="str">
        <f t="shared" si="6"/>
        <v/>
      </c>
      <c r="O44" t="str">
        <f t="shared" si="7"/>
        <v/>
      </c>
    </row>
    <row r="45" spans="8:15" x14ac:dyDescent="0.3">
      <c r="H45" s="19" t="str">
        <f t="shared" si="0"/>
        <v/>
      </c>
      <c r="I45" s="19" t="str">
        <f t="shared" si="1"/>
        <v/>
      </c>
      <c r="J45" s="19" t="str">
        <f t="shared" si="2"/>
        <v/>
      </c>
      <c r="K45" s="19" t="str">
        <f t="shared" si="3"/>
        <v/>
      </c>
      <c r="L45" s="19" t="str">
        <f t="shared" si="4"/>
        <v/>
      </c>
      <c r="M45" s="19" t="str">
        <f t="shared" si="5"/>
        <v/>
      </c>
      <c r="N45" s="20" t="str">
        <f t="shared" si="6"/>
        <v/>
      </c>
      <c r="O45" t="str">
        <f t="shared" si="7"/>
        <v/>
      </c>
    </row>
    <row r="46" spans="8:15" x14ac:dyDescent="0.3">
      <c r="H46" s="19" t="str">
        <f t="shared" si="0"/>
        <v/>
      </c>
      <c r="I46" s="19" t="str">
        <f t="shared" si="1"/>
        <v/>
      </c>
      <c r="J46" s="19" t="str">
        <f t="shared" si="2"/>
        <v/>
      </c>
      <c r="K46" s="19" t="str">
        <f t="shared" si="3"/>
        <v/>
      </c>
      <c r="L46" s="19" t="str">
        <f t="shared" si="4"/>
        <v/>
      </c>
      <c r="M46" s="19" t="str">
        <f t="shared" si="5"/>
        <v/>
      </c>
      <c r="N46" s="20" t="str">
        <f t="shared" si="6"/>
        <v/>
      </c>
      <c r="O46" t="str">
        <f t="shared" si="7"/>
        <v/>
      </c>
    </row>
    <row r="47" spans="8:15" x14ac:dyDescent="0.3">
      <c r="H47" s="19" t="str">
        <f t="shared" si="0"/>
        <v/>
      </c>
      <c r="I47" s="19" t="str">
        <f t="shared" si="1"/>
        <v/>
      </c>
      <c r="J47" s="19" t="str">
        <f t="shared" si="2"/>
        <v/>
      </c>
      <c r="K47" s="19" t="str">
        <f t="shared" si="3"/>
        <v/>
      </c>
      <c r="L47" s="19" t="str">
        <f t="shared" si="4"/>
        <v/>
      </c>
      <c r="M47" s="19" t="str">
        <f t="shared" si="5"/>
        <v/>
      </c>
      <c r="N47" s="20" t="str">
        <f t="shared" si="6"/>
        <v/>
      </c>
      <c r="O47" t="str">
        <f t="shared" si="7"/>
        <v/>
      </c>
    </row>
    <row r="48" spans="8:15" x14ac:dyDescent="0.3">
      <c r="H48" s="19" t="str">
        <f t="shared" si="0"/>
        <v/>
      </c>
      <c r="I48" s="19" t="str">
        <f t="shared" si="1"/>
        <v/>
      </c>
      <c r="J48" s="19" t="str">
        <f t="shared" si="2"/>
        <v/>
      </c>
      <c r="K48" s="19" t="str">
        <f t="shared" si="3"/>
        <v/>
      </c>
      <c r="L48" s="19" t="str">
        <f t="shared" si="4"/>
        <v/>
      </c>
      <c r="M48" s="19" t="str">
        <f t="shared" si="5"/>
        <v/>
      </c>
      <c r="N48" s="20" t="str">
        <f t="shared" si="6"/>
        <v/>
      </c>
      <c r="O48" t="str">
        <f t="shared" si="7"/>
        <v/>
      </c>
    </row>
    <row r="49" spans="8:15" x14ac:dyDescent="0.3">
      <c r="H49" s="19" t="str">
        <f t="shared" si="0"/>
        <v/>
      </c>
      <c r="I49" s="19" t="str">
        <f t="shared" si="1"/>
        <v/>
      </c>
      <c r="J49" s="19" t="str">
        <f t="shared" si="2"/>
        <v/>
      </c>
      <c r="K49" s="19" t="str">
        <f t="shared" si="3"/>
        <v/>
      </c>
      <c r="L49" s="19" t="str">
        <f t="shared" si="4"/>
        <v/>
      </c>
      <c r="M49" s="19" t="str">
        <f t="shared" si="5"/>
        <v/>
      </c>
      <c r="N49" s="20" t="str">
        <f t="shared" si="6"/>
        <v/>
      </c>
      <c r="O49" t="str">
        <f t="shared" si="7"/>
        <v/>
      </c>
    </row>
    <row r="50" spans="8:15" x14ac:dyDescent="0.3">
      <c r="H50" s="19" t="str">
        <f t="shared" si="0"/>
        <v/>
      </c>
      <c r="I50" s="19" t="str">
        <f t="shared" si="1"/>
        <v/>
      </c>
      <c r="J50" s="19" t="str">
        <f t="shared" si="2"/>
        <v/>
      </c>
      <c r="K50" s="19" t="str">
        <f t="shared" si="3"/>
        <v/>
      </c>
      <c r="L50" s="19" t="str">
        <f t="shared" si="4"/>
        <v/>
      </c>
      <c r="M50" s="19" t="str">
        <f t="shared" si="5"/>
        <v/>
      </c>
      <c r="N50" s="20" t="str">
        <f t="shared" si="6"/>
        <v/>
      </c>
      <c r="O50" t="str">
        <f t="shared" si="7"/>
        <v/>
      </c>
    </row>
    <row r="51" spans="8:15" x14ac:dyDescent="0.3">
      <c r="H51" s="19" t="str">
        <f t="shared" si="0"/>
        <v/>
      </c>
      <c r="I51" s="19" t="str">
        <f t="shared" si="1"/>
        <v/>
      </c>
      <c r="J51" s="19" t="str">
        <f t="shared" si="2"/>
        <v/>
      </c>
      <c r="K51" s="19" t="str">
        <f t="shared" si="3"/>
        <v/>
      </c>
      <c r="L51" s="19" t="str">
        <f t="shared" si="4"/>
        <v/>
      </c>
      <c r="M51" s="19" t="str">
        <f t="shared" si="5"/>
        <v/>
      </c>
      <c r="N51" s="20" t="str">
        <f t="shared" si="6"/>
        <v/>
      </c>
      <c r="O51" t="str">
        <f t="shared" si="7"/>
        <v/>
      </c>
    </row>
    <row r="52" spans="8:15" x14ac:dyDescent="0.3">
      <c r="H52" s="19" t="str">
        <f t="shared" si="0"/>
        <v/>
      </c>
      <c r="I52" s="19" t="str">
        <f t="shared" si="1"/>
        <v/>
      </c>
      <c r="J52" s="19" t="str">
        <f t="shared" si="2"/>
        <v/>
      </c>
      <c r="K52" s="19" t="str">
        <f t="shared" si="3"/>
        <v/>
      </c>
      <c r="L52" s="19" t="str">
        <f t="shared" si="4"/>
        <v/>
      </c>
      <c r="M52" s="19" t="str">
        <f t="shared" si="5"/>
        <v/>
      </c>
      <c r="N52" s="20" t="str">
        <f t="shared" si="6"/>
        <v/>
      </c>
      <c r="O52" t="str">
        <f t="shared" si="7"/>
        <v/>
      </c>
    </row>
    <row r="53" spans="8:15" x14ac:dyDescent="0.3">
      <c r="H53" s="19" t="str">
        <f t="shared" si="0"/>
        <v/>
      </c>
      <c r="I53" s="19" t="str">
        <f t="shared" si="1"/>
        <v/>
      </c>
      <c r="J53" s="19" t="str">
        <f t="shared" si="2"/>
        <v/>
      </c>
      <c r="K53" s="19" t="str">
        <f t="shared" si="3"/>
        <v/>
      </c>
      <c r="L53" s="19" t="str">
        <f t="shared" si="4"/>
        <v/>
      </c>
      <c r="M53" s="19" t="str">
        <f t="shared" si="5"/>
        <v/>
      </c>
      <c r="N53" s="20" t="str">
        <f t="shared" si="6"/>
        <v/>
      </c>
      <c r="O53" t="str">
        <f t="shared" si="7"/>
        <v/>
      </c>
    </row>
    <row r="54" spans="8:15" x14ac:dyDescent="0.3">
      <c r="H54" s="19" t="str">
        <f t="shared" si="0"/>
        <v/>
      </c>
      <c r="I54" s="19" t="str">
        <f t="shared" si="1"/>
        <v/>
      </c>
      <c r="J54" s="19" t="str">
        <f t="shared" si="2"/>
        <v/>
      </c>
      <c r="K54" s="19" t="str">
        <f t="shared" si="3"/>
        <v/>
      </c>
      <c r="L54" s="19" t="str">
        <f t="shared" si="4"/>
        <v/>
      </c>
      <c r="M54" s="19" t="str">
        <f t="shared" si="5"/>
        <v/>
      </c>
      <c r="N54" s="20" t="str">
        <f t="shared" si="6"/>
        <v/>
      </c>
      <c r="O54" t="str">
        <f t="shared" si="7"/>
        <v/>
      </c>
    </row>
    <row r="55" spans="8:15" x14ac:dyDescent="0.3">
      <c r="H55" s="19" t="str">
        <f t="shared" si="0"/>
        <v/>
      </c>
      <c r="I55" s="19" t="str">
        <f t="shared" si="1"/>
        <v/>
      </c>
      <c r="J55" s="19" t="str">
        <f t="shared" si="2"/>
        <v/>
      </c>
      <c r="K55" s="19" t="str">
        <f t="shared" si="3"/>
        <v/>
      </c>
      <c r="L55" s="19" t="str">
        <f t="shared" si="4"/>
        <v/>
      </c>
      <c r="M55" s="19" t="str">
        <f t="shared" si="5"/>
        <v/>
      </c>
      <c r="N55" s="20" t="str">
        <f t="shared" si="6"/>
        <v/>
      </c>
      <c r="O55" t="str">
        <f t="shared" si="7"/>
        <v/>
      </c>
    </row>
    <row r="56" spans="8:15" x14ac:dyDescent="0.3">
      <c r="H56" s="19" t="str">
        <f t="shared" si="0"/>
        <v/>
      </c>
      <c r="I56" s="19" t="str">
        <f t="shared" si="1"/>
        <v/>
      </c>
      <c r="J56" s="19" t="str">
        <f t="shared" si="2"/>
        <v/>
      </c>
      <c r="K56" s="19" t="str">
        <f t="shared" si="3"/>
        <v/>
      </c>
      <c r="L56" s="19" t="str">
        <f t="shared" si="4"/>
        <v/>
      </c>
      <c r="M56" s="19" t="str">
        <f t="shared" si="5"/>
        <v/>
      </c>
      <c r="N56" s="20" t="str">
        <f t="shared" si="6"/>
        <v/>
      </c>
      <c r="O56" t="str">
        <f t="shared" si="7"/>
        <v/>
      </c>
    </row>
    <row r="57" spans="8:15" x14ac:dyDescent="0.3">
      <c r="H57" s="19" t="str">
        <f t="shared" si="0"/>
        <v/>
      </c>
      <c r="I57" s="19" t="str">
        <f t="shared" si="1"/>
        <v/>
      </c>
      <c r="J57" s="19" t="str">
        <f t="shared" si="2"/>
        <v/>
      </c>
      <c r="K57" s="19" t="str">
        <f t="shared" si="3"/>
        <v/>
      </c>
      <c r="L57" s="19" t="str">
        <f t="shared" si="4"/>
        <v/>
      </c>
      <c r="M57" s="19" t="str">
        <f t="shared" si="5"/>
        <v/>
      </c>
      <c r="N57" s="20" t="str">
        <f t="shared" si="6"/>
        <v/>
      </c>
      <c r="O57" t="str">
        <f t="shared" si="7"/>
        <v/>
      </c>
    </row>
    <row r="58" spans="8:15" x14ac:dyDescent="0.3">
      <c r="H58" s="19" t="str">
        <f t="shared" si="0"/>
        <v/>
      </c>
      <c r="I58" s="19" t="str">
        <f t="shared" si="1"/>
        <v/>
      </c>
      <c r="J58" s="19" t="str">
        <f t="shared" si="2"/>
        <v/>
      </c>
      <c r="K58" s="19" t="str">
        <f t="shared" si="3"/>
        <v/>
      </c>
      <c r="L58" s="19" t="str">
        <f t="shared" si="4"/>
        <v/>
      </c>
      <c r="M58" s="19" t="str">
        <f t="shared" si="5"/>
        <v/>
      </c>
      <c r="N58" s="20" t="str">
        <f t="shared" si="6"/>
        <v/>
      </c>
      <c r="O58" t="str">
        <f t="shared" si="7"/>
        <v/>
      </c>
    </row>
    <row r="59" spans="8:15" x14ac:dyDescent="0.3">
      <c r="H59" s="19" t="str">
        <f t="shared" si="0"/>
        <v/>
      </c>
      <c r="I59" s="19" t="str">
        <f t="shared" si="1"/>
        <v/>
      </c>
      <c r="J59" s="19" t="str">
        <f t="shared" si="2"/>
        <v/>
      </c>
      <c r="K59" s="19" t="str">
        <f t="shared" si="3"/>
        <v/>
      </c>
      <c r="L59" s="19" t="str">
        <f t="shared" si="4"/>
        <v/>
      </c>
      <c r="M59" s="19" t="str">
        <f t="shared" si="5"/>
        <v/>
      </c>
      <c r="N59" s="20" t="str">
        <f t="shared" si="6"/>
        <v/>
      </c>
      <c r="O59" t="str">
        <f t="shared" si="7"/>
        <v/>
      </c>
    </row>
    <row r="60" spans="8:15" x14ac:dyDescent="0.3">
      <c r="H60" s="19" t="str">
        <f t="shared" si="0"/>
        <v/>
      </c>
      <c r="I60" s="19" t="str">
        <f t="shared" si="1"/>
        <v/>
      </c>
      <c r="J60" s="19" t="str">
        <f t="shared" si="2"/>
        <v/>
      </c>
      <c r="K60" s="19" t="str">
        <f t="shared" si="3"/>
        <v/>
      </c>
      <c r="L60" s="19" t="str">
        <f t="shared" si="4"/>
        <v/>
      </c>
      <c r="M60" s="19" t="str">
        <f t="shared" si="5"/>
        <v/>
      </c>
      <c r="N60" s="20" t="str">
        <f t="shared" si="6"/>
        <v/>
      </c>
      <c r="O60" t="str">
        <f t="shared" si="7"/>
        <v/>
      </c>
    </row>
    <row r="61" spans="8:15" x14ac:dyDescent="0.3">
      <c r="H61" s="19" t="str">
        <f t="shared" si="0"/>
        <v/>
      </c>
      <c r="I61" s="19" t="str">
        <f t="shared" si="1"/>
        <v/>
      </c>
      <c r="J61" s="19" t="str">
        <f t="shared" si="2"/>
        <v/>
      </c>
      <c r="K61" s="19" t="str">
        <f t="shared" si="3"/>
        <v/>
      </c>
      <c r="L61" s="19" t="str">
        <f t="shared" si="4"/>
        <v/>
      </c>
      <c r="M61" s="19" t="str">
        <f t="shared" si="5"/>
        <v/>
      </c>
      <c r="N61" s="20" t="str">
        <f t="shared" si="6"/>
        <v/>
      </c>
      <c r="O61" t="str">
        <f t="shared" si="7"/>
        <v/>
      </c>
    </row>
    <row r="62" spans="8:15" x14ac:dyDescent="0.3">
      <c r="H62" s="19" t="str">
        <f t="shared" si="0"/>
        <v/>
      </c>
      <c r="I62" s="19" t="str">
        <f t="shared" si="1"/>
        <v/>
      </c>
      <c r="J62" s="19" t="str">
        <f t="shared" si="2"/>
        <v/>
      </c>
      <c r="K62" s="19" t="str">
        <f t="shared" si="3"/>
        <v/>
      </c>
      <c r="L62" s="19" t="str">
        <f t="shared" si="4"/>
        <v/>
      </c>
      <c r="M62" s="19" t="str">
        <f t="shared" si="5"/>
        <v/>
      </c>
      <c r="N62" s="20" t="str">
        <f t="shared" si="6"/>
        <v/>
      </c>
      <c r="O62" t="str">
        <f t="shared" si="7"/>
        <v/>
      </c>
    </row>
    <row r="63" spans="8:15" x14ac:dyDescent="0.3">
      <c r="H63" s="19" t="str">
        <f t="shared" si="0"/>
        <v/>
      </c>
      <c r="I63" s="19" t="str">
        <f t="shared" si="1"/>
        <v/>
      </c>
      <c r="J63" s="19" t="str">
        <f t="shared" si="2"/>
        <v/>
      </c>
      <c r="K63" s="19" t="str">
        <f t="shared" si="3"/>
        <v/>
      </c>
      <c r="L63" s="19" t="str">
        <f t="shared" si="4"/>
        <v/>
      </c>
      <c r="M63" s="19" t="str">
        <f t="shared" si="5"/>
        <v/>
      </c>
      <c r="N63" s="20" t="str">
        <f t="shared" si="6"/>
        <v/>
      </c>
      <c r="O63" t="str">
        <f t="shared" si="7"/>
        <v/>
      </c>
    </row>
    <row r="64" spans="8:15" x14ac:dyDescent="0.3">
      <c r="H64" s="19" t="str">
        <f t="shared" si="0"/>
        <v/>
      </c>
      <c r="I64" s="19" t="str">
        <f t="shared" si="1"/>
        <v/>
      </c>
      <c r="J64" s="19" t="str">
        <f t="shared" si="2"/>
        <v/>
      </c>
      <c r="K64" s="19" t="str">
        <f t="shared" si="3"/>
        <v/>
      </c>
      <c r="L64" s="19" t="str">
        <f t="shared" si="4"/>
        <v/>
      </c>
      <c r="M64" s="19" t="str">
        <f t="shared" si="5"/>
        <v/>
      </c>
      <c r="N64" s="20" t="str">
        <f t="shared" si="6"/>
        <v/>
      </c>
      <c r="O64" t="str">
        <f t="shared" si="7"/>
        <v/>
      </c>
    </row>
    <row r="65" spans="8:15" x14ac:dyDescent="0.3">
      <c r="H65" s="19" t="str">
        <f t="shared" si="0"/>
        <v/>
      </c>
      <c r="I65" s="19" t="str">
        <f t="shared" si="1"/>
        <v/>
      </c>
      <c r="J65" s="19" t="str">
        <f t="shared" si="2"/>
        <v/>
      </c>
      <c r="K65" s="19" t="str">
        <f t="shared" si="3"/>
        <v/>
      </c>
      <c r="L65" s="19" t="str">
        <f t="shared" si="4"/>
        <v/>
      </c>
      <c r="M65" s="19" t="str">
        <f t="shared" si="5"/>
        <v/>
      </c>
      <c r="N65" s="20" t="str">
        <f t="shared" si="6"/>
        <v/>
      </c>
      <c r="O65" t="str">
        <f t="shared" si="7"/>
        <v/>
      </c>
    </row>
    <row r="66" spans="8:15" x14ac:dyDescent="0.3">
      <c r="H66" s="19" t="str">
        <f t="shared" si="0"/>
        <v/>
      </c>
      <c r="I66" s="19" t="str">
        <f t="shared" si="1"/>
        <v/>
      </c>
      <c r="J66" s="19" t="str">
        <f t="shared" si="2"/>
        <v/>
      </c>
      <c r="K66" s="19" t="str">
        <f t="shared" si="3"/>
        <v/>
      </c>
      <c r="L66" s="19" t="str">
        <f t="shared" si="4"/>
        <v/>
      </c>
      <c r="M66" s="19" t="str">
        <f t="shared" si="5"/>
        <v/>
      </c>
      <c r="N66" s="20" t="str">
        <f t="shared" si="6"/>
        <v/>
      </c>
      <c r="O66" t="str">
        <f t="shared" si="7"/>
        <v/>
      </c>
    </row>
    <row r="67" spans="8:15" x14ac:dyDescent="0.3">
      <c r="H67" s="19" t="str">
        <f t="shared" ref="H67:H130" si="8">IF(AND(B67&lt;&gt;"",D67&lt;&gt;""),D67/1.6021766341/B67,"")</f>
        <v/>
      </c>
      <c r="I67" s="19" t="str">
        <f t="shared" ref="I67:I130" si="9">IF(AND(B67&lt;&gt;"",D67&lt;&gt;"",C67&lt;&gt;""),D67*C67^2*0.000001,"")</f>
        <v/>
      </c>
      <c r="J67" s="19" t="str">
        <f t="shared" ref="J67:J130" si="10">IF(AND(A67&lt;&gt;"",B67&lt;&gt;"",C67&lt;&gt;""),(B67/2.509412225*(EXP(C67/86.17333262-2)-1.075*EXP(-2)))^(2/3)*300/A67,"")</f>
        <v/>
      </c>
      <c r="K67" s="19" t="str">
        <f t="shared" ref="K67:K130" si="11">IF(J67&lt;&gt;"",H67*(1+(J67*A67/300)^(-3/2)*B67/(2*2.509412225))^(1/3),"")</f>
        <v/>
      </c>
      <c r="L67" s="19" t="str">
        <f t="shared" ref="L67:L130" si="12">IF(AND(A67&lt;&gt;"",M67&lt;&gt;""),M67*(300/A67)^(3/2),"")</f>
        <v/>
      </c>
      <c r="M67" s="19" t="str">
        <f t="shared" ref="M67:M130" si="13">IF(AND(C67&lt;&gt;"",D67&lt;&gt;""),D67/4.02052163221989*(EXP(C67/86.17333262-2)-1.075*EXP(-2))*(1+0.5/(EXP(C67/86.17333262-2)-1.075*EXP(-2)))^(1/3),"")</f>
        <v/>
      </c>
      <c r="N67" s="20" t="str">
        <f t="shared" ref="N67:N130" si="14">IF(M67&lt;&gt;"",0.12122458*M67,"")</f>
        <v/>
      </c>
      <c r="O67" t="str">
        <f t="shared" ref="O67:O130" si="15">IF(AND(B67&lt;&gt;"",C67&lt;&gt;""),1.255*B67*(EXP(C67/86.17333262-2)-1.075*EXP(-2)),"")</f>
        <v/>
      </c>
    </row>
    <row r="68" spans="8:15" x14ac:dyDescent="0.3">
      <c r="H68" s="19" t="str">
        <f t="shared" si="8"/>
        <v/>
      </c>
      <c r="I68" s="19" t="str">
        <f t="shared" si="9"/>
        <v/>
      </c>
      <c r="J68" s="19" t="str">
        <f t="shared" si="10"/>
        <v/>
      </c>
      <c r="K68" s="19" t="str">
        <f t="shared" si="11"/>
        <v/>
      </c>
      <c r="L68" s="19" t="str">
        <f t="shared" si="12"/>
        <v/>
      </c>
      <c r="M68" s="19" t="str">
        <f t="shared" si="13"/>
        <v/>
      </c>
      <c r="N68" s="20" t="str">
        <f t="shared" si="14"/>
        <v/>
      </c>
      <c r="O68" t="str">
        <f t="shared" si="15"/>
        <v/>
      </c>
    </row>
    <row r="69" spans="8:15" x14ac:dyDescent="0.3">
      <c r="H69" s="19" t="str">
        <f t="shared" si="8"/>
        <v/>
      </c>
      <c r="I69" s="19" t="str">
        <f t="shared" si="9"/>
        <v/>
      </c>
      <c r="J69" s="19" t="str">
        <f t="shared" si="10"/>
        <v/>
      </c>
      <c r="K69" s="19" t="str">
        <f t="shared" si="11"/>
        <v/>
      </c>
      <c r="L69" s="19" t="str">
        <f t="shared" si="12"/>
        <v/>
      </c>
      <c r="M69" s="19" t="str">
        <f t="shared" si="13"/>
        <v/>
      </c>
      <c r="N69" s="20" t="str">
        <f t="shared" si="14"/>
        <v/>
      </c>
      <c r="O69" t="str">
        <f t="shared" si="15"/>
        <v/>
      </c>
    </row>
    <row r="70" spans="8:15" x14ac:dyDescent="0.3">
      <c r="H70" s="19" t="str">
        <f t="shared" si="8"/>
        <v/>
      </c>
      <c r="I70" s="19" t="str">
        <f t="shared" si="9"/>
        <v/>
      </c>
      <c r="J70" s="19" t="str">
        <f t="shared" si="10"/>
        <v/>
      </c>
      <c r="K70" s="19" t="str">
        <f t="shared" si="11"/>
        <v/>
      </c>
      <c r="L70" s="19" t="str">
        <f t="shared" si="12"/>
        <v/>
      </c>
      <c r="M70" s="19" t="str">
        <f t="shared" si="13"/>
        <v/>
      </c>
      <c r="N70" s="20" t="str">
        <f t="shared" si="14"/>
        <v/>
      </c>
      <c r="O70" t="str">
        <f t="shared" si="15"/>
        <v/>
      </c>
    </row>
    <row r="71" spans="8:15" x14ac:dyDescent="0.3">
      <c r="H71" s="19" t="str">
        <f t="shared" si="8"/>
        <v/>
      </c>
      <c r="I71" s="19" t="str">
        <f t="shared" si="9"/>
        <v/>
      </c>
      <c r="J71" s="19" t="str">
        <f t="shared" si="10"/>
        <v/>
      </c>
      <c r="K71" s="19" t="str">
        <f t="shared" si="11"/>
        <v/>
      </c>
      <c r="L71" s="19" t="str">
        <f t="shared" si="12"/>
        <v/>
      </c>
      <c r="M71" s="19" t="str">
        <f t="shared" si="13"/>
        <v/>
      </c>
      <c r="N71" s="20" t="str">
        <f t="shared" si="14"/>
        <v/>
      </c>
      <c r="O71" t="str">
        <f t="shared" si="15"/>
        <v/>
      </c>
    </row>
    <row r="72" spans="8:15" x14ac:dyDescent="0.3">
      <c r="H72" s="19" t="str">
        <f t="shared" si="8"/>
        <v/>
      </c>
      <c r="I72" s="19" t="str">
        <f t="shared" si="9"/>
        <v/>
      </c>
      <c r="J72" s="19" t="str">
        <f t="shared" si="10"/>
        <v/>
      </c>
      <c r="K72" s="19" t="str">
        <f t="shared" si="11"/>
        <v/>
      </c>
      <c r="L72" s="19" t="str">
        <f t="shared" si="12"/>
        <v/>
      </c>
      <c r="M72" s="19" t="str">
        <f t="shared" si="13"/>
        <v/>
      </c>
      <c r="N72" s="20" t="str">
        <f t="shared" si="14"/>
        <v/>
      </c>
      <c r="O72" t="str">
        <f t="shared" si="15"/>
        <v/>
      </c>
    </row>
    <row r="73" spans="8:15" x14ac:dyDescent="0.3">
      <c r="H73" s="19" t="str">
        <f t="shared" si="8"/>
        <v/>
      </c>
      <c r="I73" s="19" t="str">
        <f t="shared" si="9"/>
        <v/>
      </c>
      <c r="J73" s="19" t="str">
        <f t="shared" si="10"/>
        <v/>
      </c>
      <c r="K73" s="19" t="str">
        <f t="shared" si="11"/>
        <v/>
      </c>
      <c r="L73" s="19" t="str">
        <f t="shared" si="12"/>
        <v/>
      </c>
      <c r="M73" s="19" t="str">
        <f t="shared" si="13"/>
        <v/>
      </c>
      <c r="N73" s="20" t="str">
        <f t="shared" si="14"/>
        <v/>
      </c>
      <c r="O73" t="str">
        <f t="shared" si="15"/>
        <v/>
      </c>
    </row>
    <row r="74" spans="8:15" x14ac:dyDescent="0.3">
      <c r="H74" s="19" t="str">
        <f t="shared" si="8"/>
        <v/>
      </c>
      <c r="I74" s="19" t="str">
        <f t="shared" si="9"/>
        <v/>
      </c>
      <c r="J74" s="19" t="str">
        <f t="shared" si="10"/>
        <v/>
      </c>
      <c r="K74" s="19" t="str">
        <f t="shared" si="11"/>
        <v/>
      </c>
      <c r="L74" s="19" t="str">
        <f t="shared" si="12"/>
        <v/>
      </c>
      <c r="M74" s="19" t="str">
        <f t="shared" si="13"/>
        <v/>
      </c>
      <c r="N74" s="20" t="str">
        <f t="shared" si="14"/>
        <v/>
      </c>
      <c r="O74" t="str">
        <f t="shared" si="15"/>
        <v/>
      </c>
    </row>
    <row r="75" spans="8:15" x14ac:dyDescent="0.3">
      <c r="H75" s="19" t="str">
        <f t="shared" si="8"/>
        <v/>
      </c>
      <c r="I75" s="19" t="str">
        <f t="shared" si="9"/>
        <v/>
      </c>
      <c r="J75" s="19" t="str">
        <f t="shared" si="10"/>
        <v/>
      </c>
      <c r="K75" s="19" t="str">
        <f t="shared" si="11"/>
        <v/>
      </c>
      <c r="L75" s="19" t="str">
        <f t="shared" si="12"/>
        <v/>
      </c>
      <c r="M75" s="19" t="str">
        <f t="shared" si="13"/>
        <v/>
      </c>
      <c r="N75" s="20" t="str">
        <f t="shared" si="14"/>
        <v/>
      </c>
      <c r="O75" t="str">
        <f t="shared" si="15"/>
        <v/>
      </c>
    </row>
    <row r="76" spans="8:15" x14ac:dyDescent="0.3">
      <c r="H76" s="19" t="str">
        <f t="shared" si="8"/>
        <v/>
      </c>
      <c r="I76" s="19" t="str">
        <f t="shared" si="9"/>
        <v/>
      </c>
      <c r="J76" s="19" t="str">
        <f t="shared" si="10"/>
        <v/>
      </c>
      <c r="K76" s="19" t="str">
        <f t="shared" si="11"/>
        <v/>
      </c>
      <c r="L76" s="19" t="str">
        <f t="shared" si="12"/>
        <v/>
      </c>
      <c r="M76" s="19" t="str">
        <f t="shared" si="13"/>
        <v/>
      </c>
      <c r="N76" s="20" t="str">
        <f t="shared" si="14"/>
        <v/>
      </c>
      <c r="O76" t="str">
        <f t="shared" si="15"/>
        <v/>
      </c>
    </row>
    <row r="77" spans="8:15" x14ac:dyDescent="0.3">
      <c r="H77" s="19" t="str">
        <f t="shared" si="8"/>
        <v/>
      </c>
      <c r="I77" s="19" t="str">
        <f t="shared" si="9"/>
        <v/>
      </c>
      <c r="J77" s="19" t="str">
        <f t="shared" si="10"/>
        <v/>
      </c>
      <c r="K77" s="19" t="str">
        <f t="shared" si="11"/>
        <v/>
      </c>
      <c r="L77" s="19" t="str">
        <f t="shared" si="12"/>
        <v/>
      </c>
      <c r="M77" s="19" t="str">
        <f t="shared" si="13"/>
        <v/>
      </c>
      <c r="N77" s="20" t="str">
        <f t="shared" si="14"/>
        <v/>
      </c>
      <c r="O77" t="str">
        <f t="shared" si="15"/>
        <v/>
      </c>
    </row>
    <row r="78" spans="8:15" x14ac:dyDescent="0.3">
      <c r="H78" s="19" t="str">
        <f t="shared" si="8"/>
        <v/>
      </c>
      <c r="I78" s="19" t="str">
        <f t="shared" si="9"/>
        <v/>
      </c>
      <c r="J78" s="19" t="str">
        <f t="shared" si="10"/>
        <v/>
      </c>
      <c r="K78" s="19" t="str">
        <f t="shared" si="11"/>
        <v/>
      </c>
      <c r="L78" s="19" t="str">
        <f t="shared" si="12"/>
        <v/>
      </c>
      <c r="M78" s="19" t="str">
        <f t="shared" si="13"/>
        <v/>
      </c>
      <c r="N78" s="20" t="str">
        <f t="shared" si="14"/>
        <v/>
      </c>
      <c r="O78" t="str">
        <f t="shared" si="15"/>
        <v/>
      </c>
    </row>
    <row r="79" spans="8:15" x14ac:dyDescent="0.3">
      <c r="H79" s="19" t="str">
        <f t="shared" si="8"/>
        <v/>
      </c>
      <c r="I79" s="19" t="str">
        <f t="shared" si="9"/>
        <v/>
      </c>
      <c r="J79" s="19" t="str">
        <f t="shared" si="10"/>
        <v/>
      </c>
      <c r="K79" s="19" t="str">
        <f t="shared" si="11"/>
        <v/>
      </c>
      <c r="L79" s="19" t="str">
        <f t="shared" si="12"/>
        <v/>
      </c>
      <c r="M79" s="19" t="str">
        <f t="shared" si="13"/>
        <v/>
      </c>
      <c r="N79" s="20" t="str">
        <f t="shared" si="14"/>
        <v/>
      </c>
      <c r="O79" t="str">
        <f t="shared" si="15"/>
        <v/>
      </c>
    </row>
    <row r="80" spans="8:15" x14ac:dyDescent="0.3">
      <c r="H80" s="19" t="str">
        <f t="shared" si="8"/>
        <v/>
      </c>
      <c r="I80" s="19" t="str">
        <f t="shared" si="9"/>
        <v/>
      </c>
      <c r="J80" s="19" t="str">
        <f t="shared" si="10"/>
        <v/>
      </c>
      <c r="K80" s="19" t="str">
        <f t="shared" si="11"/>
        <v/>
      </c>
      <c r="L80" s="19" t="str">
        <f t="shared" si="12"/>
        <v/>
      </c>
      <c r="M80" s="19" t="str">
        <f t="shared" si="13"/>
        <v/>
      </c>
      <c r="N80" s="20" t="str">
        <f t="shared" si="14"/>
        <v/>
      </c>
      <c r="O80" t="str">
        <f t="shared" si="15"/>
        <v/>
      </c>
    </row>
    <row r="81" spans="8:15" x14ac:dyDescent="0.3">
      <c r="H81" s="19" t="str">
        <f t="shared" si="8"/>
        <v/>
      </c>
      <c r="I81" s="19" t="str">
        <f t="shared" si="9"/>
        <v/>
      </c>
      <c r="J81" s="19" t="str">
        <f t="shared" si="10"/>
        <v/>
      </c>
      <c r="K81" s="19" t="str">
        <f t="shared" si="11"/>
        <v/>
      </c>
      <c r="L81" s="19" t="str">
        <f t="shared" si="12"/>
        <v/>
      </c>
      <c r="M81" s="19" t="str">
        <f t="shared" si="13"/>
        <v/>
      </c>
      <c r="N81" s="20" t="str">
        <f t="shared" si="14"/>
        <v/>
      </c>
      <c r="O81" t="str">
        <f t="shared" si="15"/>
        <v/>
      </c>
    </row>
    <row r="82" spans="8:15" x14ac:dyDescent="0.3">
      <c r="H82" s="19" t="str">
        <f t="shared" si="8"/>
        <v/>
      </c>
      <c r="I82" s="19" t="str">
        <f t="shared" si="9"/>
        <v/>
      </c>
      <c r="J82" s="19" t="str">
        <f t="shared" si="10"/>
        <v/>
      </c>
      <c r="K82" s="19" t="str">
        <f t="shared" si="11"/>
        <v/>
      </c>
      <c r="L82" s="19" t="str">
        <f t="shared" si="12"/>
        <v/>
      </c>
      <c r="M82" s="19" t="str">
        <f t="shared" si="13"/>
        <v/>
      </c>
      <c r="N82" s="20" t="str">
        <f t="shared" si="14"/>
        <v/>
      </c>
      <c r="O82" t="str">
        <f t="shared" si="15"/>
        <v/>
      </c>
    </row>
    <row r="83" spans="8:15" x14ac:dyDescent="0.3">
      <c r="H83" s="19" t="str">
        <f t="shared" si="8"/>
        <v/>
      </c>
      <c r="I83" s="19" t="str">
        <f t="shared" si="9"/>
        <v/>
      </c>
      <c r="J83" s="19" t="str">
        <f t="shared" si="10"/>
        <v/>
      </c>
      <c r="K83" s="19" t="str">
        <f t="shared" si="11"/>
        <v/>
      </c>
      <c r="L83" s="19" t="str">
        <f t="shared" si="12"/>
        <v/>
      </c>
      <c r="M83" s="19" t="str">
        <f t="shared" si="13"/>
        <v/>
      </c>
      <c r="N83" s="20" t="str">
        <f t="shared" si="14"/>
        <v/>
      </c>
      <c r="O83" t="str">
        <f t="shared" si="15"/>
        <v/>
      </c>
    </row>
    <row r="84" spans="8:15" x14ac:dyDescent="0.3">
      <c r="H84" s="19" t="str">
        <f t="shared" si="8"/>
        <v/>
      </c>
      <c r="I84" s="19" t="str">
        <f t="shared" si="9"/>
        <v/>
      </c>
      <c r="J84" s="19" t="str">
        <f t="shared" si="10"/>
        <v/>
      </c>
      <c r="K84" s="19" t="str">
        <f t="shared" si="11"/>
        <v/>
      </c>
      <c r="L84" s="19" t="str">
        <f t="shared" si="12"/>
        <v/>
      </c>
      <c r="M84" s="19" t="str">
        <f t="shared" si="13"/>
        <v/>
      </c>
      <c r="N84" s="20" t="str">
        <f t="shared" si="14"/>
        <v/>
      </c>
      <c r="O84" t="str">
        <f t="shared" si="15"/>
        <v/>
      </c>
    </row>
    <row r="85" spans="8:15" x14ac:dyDescent="0.3">
      <c r="H85" s="19" t="str">
        <f t="shared" si="8"/>
        <v/>
      </c>
      <c r="I85" s="19" t="str">
        <f t="shared" si="9"/>
        <v/>
      </c>
      <c r="J85" s="19" t="str">
        <f t="shared" si="10"/>
        <v/>
      </c>
      <c r="K85" s="19" t="str">
        <f t="shared" si="11"/>
        <v/>
      </c>
      <c r="L85" s="19" t="str">
        <f t="shared" si="12"/>
        <v/>
      </c>
      <c r="M85" s="19" t="str">
        <f t="shared" si="13"/>
        <v/>
      </c>
      <c r="N85" s="20" t="str">
        <f t="shared" si="14"/>
        <v/>
      </c>
      <c r="O85" t="str">
        <f t="shared" si="15"/>
        <v/>
      </c>
    </row>
    <row r="86" spans="8:15" x14ac:dyDescent="0.3">
      <c r="H86" s="19" t="str">
        <f t="shared" si="8"/>
        <v/>
      </c>
      <c r="I86" s="19" t="str">
        <f t="shared" si="9"/>
        <v/>
      </c>
      <c r="J86" s="19" t="str">
        <f t="shared" si="10"/>
        <v/>
      </c>
      <c r="K86" s="19" t="str">
        <f t="shared" si="11"/>
        <v/>
      </c>
      <c r="L86" s="19" t="str">
        <f t="shared" si="12"/>
        <v/>
      </c>
      <c r="M86" s="19" t="str">
        <f t="shared" si="13"/>
        <v/>
      </c>
      <c r="N86" s="20" t="str">
        <f t="shared" si="14"/>
        <v/>
      </c>
      <c r="O86" t="str">
        <f t="shared" si="15"/>
        <v/>
      </c>
    </row>
    <row r="87" spans="8:15" x14ac:dyDescent="0.3">
      <c r="H87" s="19" t="str">
        <f t="shared" si="8"/>
        <v/>
      </c>
      <c r="I87" s="19" t="str">
        <f t="shared" si="9"/>
        <v/>
      </c>
      <c r="J87" s="19" t="str">
        <f t="shared" si="10"/>
        <v/>
      </c>
      <c r="K87" s="19" t="str">
        <f t="shared" si="11"/>
        <v/>
      </c>
      <c r="L87" s="19" t="str">
        <f t="shared" si="12"/>
        <v/>
      </c>
      <c r="M87" s="19" t="str">
        <f t="shared" si="13"/>
        <v/>
      </c>
      <c r="N87" s="20" t="str">
        <f t="shared" si="14"/>
        <v/>
      </c>
      <c r="O87" t="str">
        <f t="shared" si="15"/>
        <v/>
      </c>
    </row>
    <row r="88" spans="8:15" x14ac:dyDescent="0.3">
      <c r="H88" s="19" t="str">
        <f t="shared" si="8"/>
        <v/>
      </c>
      <c r="I88" s="19" t="str">
        <f t="shared" si="9"/>
        <v/>
      </c>
      <c r="J88" s="19" t="str">
        <f t="shared" si="10"/>
        <v/>
      </c>
      <c r="K88" s="19" t="str">
        <f t="shared" si="11"/>
        <v/>
      </c>
      <c r="L88" s="19" t="str">
        <f t="shared" si="12"/>
        <v/>
      </c>
      <c r="M88" s="19" t="str">
        <f t="shared" si="13"/>
        <v/>
      </c>
      <c r="N88" s="20" t="str">
        <f t="shared" si="14"/>
        <v/>
      </c>
      <c r="O88" t="str">
        <f t="shared" si="15"/>
        <v/>
      </c>
    </row>
    <row r="89" spans="8:15" x14ac:dyDescent="0.3">
      <c r="H89" s="19" t="str">
        <f t="shared" si="8"/>
        <v/>
      </c>
      <c r="I89" s="19" t="str">
        <f t="shared" si="9"/>
        <v/>
      </c>
      <c r="J89" s="19" t="str">
        <f t="shared" si="10"/>
        <v/>
      </c>
      <c r="K89" s="19" t="str">
        <f t="shared" si="11"/>
        <v/>
      </c>
      <c r="L89" s="19" t="str">
        <f t="shared" si="12"/>
        <v/>
      </c>
      <c r="M89" s="19" t="str">
        <f t="shared" si="13"/>
        <v/>
      </c>
      <c r="N89" s="20" t="str">
        <f t="shared" si="14"/>
        <v/>
      </c>
      <c r="O89" t="str">
        <f t="shared" si="15"/>
        <v/>
      </c>
    </row>
    <row r="90" spans="8:15" x14ac:dyDescent="0.3">
      <c r="H90" s="19" t="str">
        <f t="shared" si="8"/>
        <v/>
      </c>
      <c r="I90" s="19" t="str">
        <f t="shared" si="9"/>
        <v/>
      </c>
      <c r="J90" s="19" t="str">
        <f t="shared" si="10"/>
        <v/>
      </c>
      <c r="K90" s="19" t="str">
        <f t="shared" si="11"/>
        <v/>
      </c>
      <c r="L90" s="19" t="str">
        <f t="shared" si="12"/>
        <v/>
      </c>
      <c r="M90" s="19" t="str">
        <f t="shared" si="13"/>
        <v/>
      </c>
      <c r="N90" s="20" t="str">
        <f t="shared" si="14"/>
        <v/>
      </c>
      <c r="O90" t="str">
        <f t="shared" si="15"/>
        <v/>
      </c>
    </row>
    <row r="91" spans="8:15" x14ac:dyDescent="0.3">
      <c r="H91" s="19" t="str">
        <f t="shared" si="8"/>
        <v/>
      </c>
      <c r="I91" s="19" t="str">
        <f t="shared" si="9"/>
        <v/>
      </c>
      <c r="J91" s="19" t="str">
        <f t="shared" si="10"/>
        <v/>
      </c>
      <c r="K91" s="19" t="str">
        <f t="shared" si="11"/>
        <v/>
      </c>
      <c r="L91" s="19" t="str">
        <f t="shared" si="12"/>
        <v/>
      </c>
      <c r="M91" s="19" t="str">
        <f t="shared" si="13"/>
        <v/>
      </c>
      <c r="N91" s="20" t="str">
        <f t="shared" si="14"/>
        <v/>
      </c>
      <c r="O91" t="str">
        <f t="shared" si="15"/>
        <v/>
      </c>
    </row>
    <row r="92" spans="8:15" x14ac:dyDescent="0.3">
      <c r="H92" s="19" t="str">
        <f t="shared" si="8"/>
        <v/>
      </c>
      <c r="I92" s="19" t="str">
        <f t="shared" si="9"/>
        <v/>
      </c>
      <c r="J92" s="19" t="str">
        <f t="shared" si="10"/>
        <v/>
      </c>
      <c r="K92" s="19" t="str">
        <f t="shared" si="11"/>
        <v/>
      </c>
      <c r="L92" s="19" t="str">
        <f t="shared" si="12"/>
        <v/>
      </c>
      <c r="M92" s="19" t="str">
        <f t="shared" si="13"/>
        <v/>
      </c>
      <c r="N92" s="20" t="str">
        <f t="shared" si="14"/>
        <v/>
      </c>
      <c r="O92" t="str">
        <f t="shared" si="15"/>
        <v/>
      </c>
    </row>
    <row r="93" spans="8:15" x14ac:dyDescent="0.3">
      <c r="H93" s="19" t="str">
        <f t="shared" si="8"/>
        <v/>
      </c>
      <c r="I93" s="19" t="str">
        <f t="shared" si="9"/>
        <v/>
      </c>
      <c r="J93" s="19" t="str">
        <f t="shared" si="10"/>
        <v/>
      </c>
      <c r="K93" s="19" t="str">
        <f t="shared" si="11"/>
        <v/>
      </c>
      <c r="L93" s="19" t="str">
        <f t="shared" si="12"/>
        <v/>
      </c>
      <c r="M93" s="19" t="str">
        <f t="shared" si="13"/>
        <v/>
      </c>
      <c r="N93" s="20" t="str">
        <f t="shared" si="14"/>
        <v/>
      </c>
      <c r="O93" t="str">
        <f t="shared" si="15"/>
        <v/>
      </c>
    </row>
    <row r="94" spans="8:15" x14ac:dyDescent="0.3">
      <c r="H94" s="19" t="str">
        <f t="shared" si="8"/>
        <v/>
      </c>
      <c r="I94" s="19" t="str">
        <f t="shared" si="9"/>
        <v/>
      </c>
      <c r="J94" s="19" t="str">
        <f t="shared" si="10"/>
        <v/>
      </c>
      <c r="K94" s="19" t="str">
        <f t="shared" si="11"/>
        <v/>
      </c>
      <c r="L94" s="19" t="str">
        <f t="shared" si="12"/>
        <v/>
      </c>
      <c r="M94" s="19" t="str">
        <f t="shared" si="13"/>
        <v/>
      </c>
      <c r="N94" s="20" t="str">
        <f t="shared" si="14"/>
        <v/>
      </c>
      <c r="O94" t="str">
        <f t="shared" si="15"/>
        <v/>
      </c>
    </row>
    <row r="95" spans="8:15" x14ac:dyDescent="0.3">
      <c r="H95" s="19" t="str">
        <f t="shared" si="8"/>
        <v/>
      </c>
      <c r="I95" s="19" t="str">
        <f t="shared" si="9"/>
        <v/>
      </c>
      <c r="J95" s="19" t="str">
        <f t="shared" si="10"/>
        <v/>
      </c>
      <c r="K95" s="19" t="str">
        <f t="shared" si="11"/>
        <v/>
      </c>
      <c r="L95" s="19" t="str">
        <f t="shared" si="12"/>
        <v/>
      </c>
      <c r="M95" s="19" t="str">
        <f t="shared" si="13"/>
        <v/>
      </c>
      <c r="N95" s="20" t="str">
        <f t="shared" si="14"/>
        <v/>
      </c>
      <c r="O95" t="str">
        <f t="shared" si="15"/>
        <v/>
      </c>
    </row>
    <row r="96" spans="8:15" x14ac:dyDescent="0.3">
      <c r="H96" s="19" t="str">
        <f t="shared" si="8"/>
        <v/>
      </c>
      <c r="I96" s="19" t="str">
        <f t="shared" si="9"/>
        <v/>
      </c>
      <c r="J96" s="19" t="str">
        <f t="shared" si="10"/>
        <v/>
      </c>
      <c r="K96" s="19" t="str">
        <f t="shared" si="11"/>
        <v/>
      </c>
      <c r="L96" s="19" t="str">
        <f t="shared" si="12"/>
        <v/>
      </c>
      <c r="M96" s="19" t="str">
        <f t="shared" si="13"/>
        <v/>
      </c>
      <c r="N96" s="20" t="str">
        <f t="shared" si="14"/>
        <v/>
      </c>
      <c r="O96" t="str">
        <f t="shared" si="15"/>
        <v/>
      </c>
    </row>
    <row r="97" spans="8:15" x14ac:dyDescent="0.3">
      <c r="H97" s="19" t="str">
        <f t="shared" si="8"/>
        <v/>
      </c>
      <c r="I97" s="19" t="str">
        <f t="shared" si="9"/>
        <v/>
      </c>
      <c r="J97" s="19" t="str">
        <f t="shared" si="10"/>
        <v/>
      </c>
      <c r="K97" s="19" t="str">
        <f t="shared" si="11"/>
        <v/>
      </c>
      <c r="L97" s="19" t="str">
        <f t="shared" si="12"/>
        <v/>
      </c>
      <c r="M97" s="19" t="str">
        <f t="shared" si="13"/>
        <v/>
      </c>
      <c r="N97" s="20" t="str">
        <f t="shared" si="14"/>
        <v/>
      </c>
      <c r="O97" t="str">
        <f t="shared" si="15"/>
        <v/>
      </c>
    </row>
    <row r="98" spans="8:15" x14ac:dyDescent="0.3">
      <c r="H98" s="19" t="str">
        <f t="shared" si="8"/>
        <v/>
      </c>
      <c r="I98" s="19" t="str">
        <f t="shared" si="9"/>
        <v/>
      </c>
      <c r="J98" s="19" t="str">
        <f t="shared" si="10"/>
        <v/>
      </c>
      <c r="K98" s="19" t="str">
        <f t="shared" si="11"/>
        <v/>
      </c>
      <c r="L98" s="19" t="str">
        <f t="shared" si="12"/>
        <v/>
      </c>
      <c r="M98" s="19" t="str">
        <f t="shared" si="13"/>
        <v/>
      </c>
      <c r="N98" s="20" t="str">
        <f t="shared" si="14"/>
        <v/>
      </c>
      <c r="O98" t="str">
        <f t="shared" si="15"/>
        <v/>
      </c>
    </row>
    <row r="99" spans="8:15" x14ac:dyDescent="0.3">
      <c r="H99" s="19" t="str">
        <f t="shared" si="8"/>
        <v/>
      </c>
      <c r="I99" s="19" t="str">
        <f t="shared" si="9"/>
        <v/>
      </c>
      <c r="J99" s="19" t="str">
        <f t="shared" si="10"/>
        <v/>
      </c>
      <c r="K99" s="19" t="str">
        <f t="shared" si="11"/>
        <v/>
      </c>
      <c r="L99" s="19" t="str">
        <f t="shared" si="12"/>
        <v/>
      </c>
      <c r="M99" s="19" t="str">
        <f t="shared" si="13"/>
        <v/>
      </c>
      <c r="N99" s="20" t="str">
        <f t="shared" si="14"/>
        <v/>
      </c>
      <c r="O99" t="str">
        <f t="shared" si="15"/>
        <v/>
      </c>
    </row>
    <row r="100" spans="8:15" x14ac:dyDescent="0.3">
      <c r="H100" s="19" t="str">
        <f t="shared" si="8"/>
        <v/>
      </c>
      <c r="I100" s="19" t="str">
        <f t="shared" si="9"/>
        <v/>
      </c>
      <c r="J100" s="19" t="str">
        <f t="shared" si="10"/>
        <v/>
      </c>
      <c r="K100" s="19" t="str">
        <f t="shared" si="11"/>
        <v/>
      </c>
      <c r="L100" s="19" t="str">
        <f t="shared" si="12"/>
        <v/>
      </c>
      <c r="M100" s="19" t="str">
        <f t="shared" si="13"/>
        <v/>
      </c>
      <c r="N100" s="20" t="str">
        <f t="shared" si="14"/>
        <v/>
      </c>
      <c r="O100" t="str">
        <f t="shared" si="15"/>
        <v/>
      </c>
    </row>
    <row r="101" spans="8:15" x14ac:dyDescent="0.3">
      <c r="H101" s="19" t="str">
        <f t="shared" si="8"/>
        <v/>
      </c>
      <c r="I101" s="19" t="str">
        <f t="shared" si="9"/>
        <v/>
      </c>
      <c r="J101" s="19" t="str">
        <f t="shared" si="10"/>
        <v/>
      </c>
      <c r="K101" s="19" t="str">
        <f t="shared" si="11"/>
        <v/>
      </c>
      <c r="L101" s="19" t="str">
        <f t="shared" si="12"/>
        <v/>
      </c>
      <c r="M101" s="19" t="str">
        <f t="shared" si="13"/>
        <v/>
      </c>
      <c r="N101" s="20" t="str">
        <f t="shared" si="14"/>
        <v/>
      </c>
      <c r="O101" t="str">
        <f t="shared" si="15"/>
        <v/>
      </c>
    </row>
    <row r="102" spans="8:15" x14ac:dyDescent="0.3">
      <c r="H102" s="19" t="str">
        <f t="shared" si="8"/>
        <v/>
      </c>
      <c r="I102" s="19" t="str">
        <f t="shared" si="9"/>
        <v/>
      </c>
      <c r="J102" s="19" t="str">
        <f t="shared" si="10"/>
        <v/>
      </c>
      <c r="K102" s="19" t="str">
        <f t="shared" si="11"/>
        <v/>
      </c>
      <c r="L102" s="19" t="str">
        <f t="shared" si="12"/>
        <v/>
      </c>
      <c r="M102" s="19" t="str">
        <f t="shared" si="13"/>
        <v/>
      </c>
      <c r="N102" s="20" t="str">
        <f t="shared" si="14"/>
        <v/>
      </c>
      <c r="O102" t="str">
        <f t="shared" si="15"/>
        <v/>
      </c>
    </row>
    <row r="103" spans="8:15" x14ac:dyDescent="0.3">
      <c r="H103" s="19" t="str">
        <f t="shared" si="8"/>
        <v/>
      </c>
      <c r="I103" s="19" t="str">
        <f t="shared" si="9"/>
        <v/>
      </c>
      <c r="J103" s="19" t="str">
        <f t="shared" si="10"/>
        <v/>
      </c>
      <c r="K103" s="19" t="str">
        <f t="shared" si="11"/>
        <v/>
      </c>
      <c r="L103" s="19" t="str">
        <f t="shared" si="12"/>
        <v/>
      </c>
      <c r="M103" s="19" t="str">
        <f t="shared" si="13"/>
        <v/>
      </c>
      <c r="N103" s="20" t="str">
        <f t="shared" si="14"/>
        <v/>
      </c>
      <c r="O103" t="str">
        <f t="shared" si="15"/>
        <v/>
      </c>
    </row>
    <row r="104" spans="8:15" x14ac:dyDescent="0.3">
      <c r="H104" s="19" t="str">
        <f t="shared" si="8"/>
        <v/>
      </c>
      <c r="I104" s="19" t="str">
        <f t="shared" si="9"/>
        <v/>
      </c>
      <c r="J104" s="19" t="str">
        <f t="shared" si="10"/>
        <v/>
      </c>
      <c r="K104" s="19" t="str">
        <f t="shared" si="11"/>
        <v/>
      </c>
      <c r="L104" s="19" t="str">
        <f t="shared" si="12"/>
        <v/>
      </c>
      <c r="M104" s="19" t="str">
        <f t="shared" si="13"/>
        <v/>
      </c>
      <c r="N104" s="20" t="str">
        <f t="shared" si="14"/>
        <v/>
      </c>
      <c r="O104" t="str">
        <f t="shared" si="15"/>
        <v/>
      </c>
    </row>
    <row r="105" spans="8:15" x14ac:dyDescent="0.3">
      <c r="H105" s="19" t="str">
        <f t="shared" si="8"/>
        <v/>
      </c>
      <c r="I105" s="19" t="str">
        <f t="shared" si="9"/>
        <v/>
      </c>
      <c r="J105" s="19" t="str">
        <f t="shared" si="10"/>
        <v/>
      </c>
      <c r="K105" s="19" t="str">
        <f t="shared" si="11"/>
        <v/>
      </c>
      <c r="L105" s="19" t="str">
        <f t="shared" si="12"/>
        <v/>
      </c>
      <c r="M105" s="19" t="str">
        <f t="shared" si="13"/>
        <v/>
      </c>
      <c r="N105" s="20" t="str">
        <f t="shared" si="14"/>
        <v/>
      </c>
      <c r="O105" t="str">
        <f t="shared" si="15"/>
        <v/>
      </c>
    </row>
    <row r="106" spans="8:15" x14ac:dyDescent="0.3">
      <c r="H106" s="19" t="str">
        <f t="shared" si="8"/>
        <v/>
      </c>
      <c r="I106" s="19" t="str">
        <f t="shared" si="9"/>
        <v/>
      </c>
      <c r="J106" s="19" t="str">
        <f t="shared" si="10"/>
        <v/>
      </c>
      <c r="K106" s="19" t="str">
        <f t="shared" si="11"/>
        <v/>
      </c>
      <c r="L106" s="19" t="str">
        <f t="shared" si="12"/>
        <v/>
      </c>
      <c r="M106" s="19" t="str">
        <f t="shared" si="13"/>
        <v/>
      </c>
      <c r="N106" s="20" t="str">
        <f t="shared" si="14"/>
        <v/>
      </c>
      <c r="O106" t="str">
        <f t="shared" si="15"/>
        <v/>
      </c>
    </row>
    <row r="107" spans="8:15" x14ac:dyDescent="0.3">
      <c r="H107" s="19" t="str">
        <f t="shared" si="8"/>
        <v/>
      </c>
      <c r="I107" s="19" t="str">
        <f t="shared" si="9"/>
        <v/>
      </c>
      <c r="J107" s="19" t="str">
        <f t="shared" si="10"/>
        <v/>
      </c>
      <c r="K107" s="19" t="str">
        <f t="shared" si="11"/>
        <v/>
      </c>
      <c r="L107" s="19" t="str">
        <f t="shared" si="12"/>
        <v/>
      </c>
      <c r="M107" s="19" t="str">
        <f t="shared" si="13"/>
        <v/>
      </c>
      <c r="N107" s="20" t="str">
        <f t="shared" si="14"/>
        <v/>
      </c>
      <c r="O107" t="str">
        <f t="shared" si="15"/>
        <v/>
      </c>
    </row>
    <row r="108" spans="8:15" x14ac:dyDescent="0.3">
      <c r="H108" s="19" t="str">
        <f t="shared" si="8"/>
        <v/>
      </c>
      <c r="I108" s="19" t="str">
        <f t="shared" si="9"/>
        <v/>
      </c>
      <c r="J108" s="19" t="str">
        <f t="shared" si="10"/>
        <v/>
      </c>
      <c r="K108" s="19" t="str">
        <f t="shared" si="11"/>
        <v/>
      </c>
      <c r="L108" s="19" t="str">
        <f t="shared" si="12"/>
        <v/>
      </c>
      <c r="M108" s="19" t="str">
        <f t="shared" si="13"/>
        <v/>
      </c>
      <c r="N108" s="20" t="str">
        <f t="shared" si="14"/>
        <v/>
      </c>
      <c r="O108" t="str">
        <f t="shared" si="15"/>
        <v/>
      </c>
    </row>
    <row r="109" spans="8:15" x14ac:dyDescent="0.3">
      <c r="H109" s="19" t="str">
        <f t="shared" si="8"/>
        <v/>
      </c>
      <c r="I109" s="19" t="str">
        <f t="shared" si="9"/>
        <v/>
      </c>
      <c r="J109" s="19" t="str">
        <f t="shared" si="10"/>
        <v/>
      </c>
      <c r="K109" s="19" t="str">
        <f t="shared" si="11"/>
        <v/>
      </c>
      <c r="L109" s="19" t="str">
        <f t="shared" si="12"/>
        <v/>
      </c>
      <c r="M109" s="19" t="str">
        <f t="shared" si="13"/>
        <v/>
      </c>
      <c r="N109" s="20" t="str">
        <f t="shared" si="14"/>
        <v/>
      </c>
      <c r="O109" t="str">
        <f t="shared" si="15"/>
        <v/>
      </c>
    </row>
    <row r="110" spans="8:15" x14ac:dyDescent="0.3">
      <c r="H110" s="19" t="str">
        <f t="shared" si="8"/>
        <v/>
      </c>
      <c r="I110" s="19" t="str">
        <f t="shared" si="9"/>
        <v/>
      </c>
      <c r="J110" s="19" t="str">
        <f t="shared" si="10"/>
        <v/>
      </c>
      <c r="K110" s="19" t="str">
        <f t="shared" si="11"/>
        <v/>
      </c>
      <c r="L110" s="19" t="str">
        <f t="shared" si="12"/>
        <v/>
      </c>
      <c r="M110" s="19" t="str">
        <f t="shared" si="13"/>
        <v/>
      </c>
      <c r="N110" s="20" t="str">
        <f t="shared" si="14"/>
        <v/>
      </c>
      <c r="O110" t="str">
        <f t="shared" si="15"/>
        <v/>
      </c>
    </row>
    <row r="111" spans="8:15" x14ac:dyDescent="0.3">
      <c r="H111" s="19" t="str">
        <f t="shared" si="8"/>
        <v/>
      </c>
      <c r="I111" s="19" t="str">
        <f t="shared" si="9"/>
        <v/>
      </c>
      <c r="J111" s="19" t="str">
        <f t="shared" si="10"/>
        <v/>
      </c>
      <c r="K111" s="19" t="str">
        <f t="shared" si="11"/>
        <v/>
      </c>
      <c r="L111" s="19" t="str">
        <f t="shared" si="12"/>
        <v/>
      </c>
      <c r="M111" s="19" t="str">
        <f t="shared" si="13"/>
        <v/>
      </c>
      <c r="N111" s="20" t="str">
        <f t="shared" si="14"/>
        <v/>
      </c>
      <c r="O111" t="str">
        <f t="shared" si="15"/>
        <v/>
      </c>
    </row>
    <row r="112" spans="8:15" x14ac:dyDescent="0.3">
      <c r="H112" s="19" t="str">
        <f t="shared" si="8"/>
        <v/>
      </c>
      <c r="I112" s="19" t="str">
        <f t="shared" si="9"/>
        <v/>
      </c>
      <c r="J112" s="19" t="str">
        <f t="shared" si="10"/>
        <v/>
      </c>
      <c r="K112" s="19" t="str">
        <f t="shared" si="11"/>
        <v/>
      </c>
      <c r="L112" s="19" t="str">
        <f t="shared" si="12"/>
        <v/>
      </c>
      <c r="M112" s="19" t="str">
        <f t="shared" si="13"/>
        <v/>
      </c>
      <c r="N112" s="20" t="str">
        <f t="shared" si="14"/>
        <v/>
      </c>
      <c r="O112" t="str">
        <f t="shared" si="15"/>
        <v/>
      </c>
    </row>
    <row r="113" spans="8:15" x14ac:dyDescent="0.3">
      <c r="H113" s="19" t="str">
        <f t="shared" si="8"/>
        <v/>
      </c>
      <c r="I113" s="19" t="str">
        <f t="shared" si="9"/>
        <v/>
      </c>
      <c r="J113" s="19" t="str">
        <f t="shared" si="10"/>
        <v/>
      </c>
      <c r="K113" s="19" t="str">
        <f t="shared" si="11"/>
        <v/>
      </c>
      <c r="L113" s="19" t="str">
        <f t="shared" si="12"/>
        <v/>
      </c>
      <c r="M113" s="19" t="str">
        <f t="shared" si="13"/>
        <v/>
      </c>
      <c r="N113" s="20" t="str">
        <f t="shared" si="14"/>
        <v/>
      </c>
      <c r="O113" t="str">
        <f t="shared" si="15"/>
        <v/>
      </c>
    </row>
    <row r="114" spans="8:15" x14ac:dyDescent="0.3">
      <c r="H114" s="19" t="str">
        <f t="shared" si="8"/>
        <v/>
      </c>
      <c r="I114" s="19" t="str">
        <f t="shared" si="9"/>
        <v/>
      </c>
      <c r="J114" s="19" t="str">
        <f t="shared" si="10"/>
        <v/>
      </c>
      <c r="K114" s="19" t="str">
        <f t="shared" si="11"/>
        <v/>
      </c>
      <c r="L114" s="19" t="str">
        <f t="shared" si="12"/>
        <v/>
      </c>
      <c r="M114" s="19" t="str">
        <f t="shared" si="13"/>
        <v/>
      </c>
      <c r="N114" s="20" t="str">
        <f t="shared" si="14"/>
        <v/>
      </c>
      <c r="O114" t="str">
        <f t="shared" si="15"/>
        <v/>
      </c>
    </row>
    <row r="115" spans="8:15" x14ac:dyDescent="0.3">
      <c r="H115" s="19" t="str">
        <f t="shared" si="8"/>
        <v/>
      </c>
      <c r="I115" s="19" t="str">
        <f t="shared" si="9"/>
        <v/>
      </c>
      <c r="J115" s="19" t="str">
        <f t="shared" si="10"/>
        <v/>
      </c>
      <c r="K115" s="19" t="str">
        <f t="shared" si="11"/>
        <v/>
      </c>
      <c r="L115" s="19" t="str">
        <f t="shared" si="12"/>
        <v/>
      </c>
      <c r="M115" s="19" t="str">
        <f t="shared" si="13"/>
        <v/>
      </c>
      <c r="N115" s="20" t="str">
        <f t="shared" si="14"/>
        <v/>
      </c>
      <c r="O115" t="str">
        <f t="shared" si="15"/>
        <v/>
      </c>
    </row>
    <row r="116" spans="8:15" x14ac:dyDescent="0.3">
      <c r="H116" s="19" t="str">
        <f t="shared" si="8"/>
        <v/>
      </c>
      <c r="I116" s="19" t="str">
        <f t="shared" si="9"/>
        <v/>
      </c>
      <c r="J116" s="19" t="str">
        <f t="shared" si="10"/>
        <v/>
      </c>
      <c r="K116" s="19" t="str">
        <f t="shared" si="11"/>
        <v/>
      </c>
      <c r="L116" s="19" t="str">
        <f t="shared" si="12"/>
        <v/>
      </c>
      <c r="M116" s="19" t="str">
        <f t="shared" si="13"/>
        <v/>
      </c>
      <c r="N116" s="20" t="str">
        <f t="shared" si="14"/>
        <v/>
      </c>
      <c r="O116" t="str">
        <f t="shared" si="15"/>
        <v/>
      </c>
    </row>
    <row r="117" spans="8:15" x14ac:dyDescent="0.3">
      <c r="H117" s="19" t="str">
        <f t="shared" si="8"/>
        <v/>
      </c>
      <c r="I117" s="19" t="str">
        <f t="shared" si="9"/>
        <v/>
      </c>
      <c r="J117" s="19" t="str">
        <f t="shared" si="10"/>
        <v/>
      </c>
      <c r="K117" s="19" t="str">
        <f t="shared" si="11"/>
        <v/>
      </c>
      <c r="L117" s="19" t="str">
        <f t="shared" si="12"/>
        <v/>
      </c>
      <c r="M117" s="19" t="str">
        <f t="shared" si="13"/>
        <v/>
      </c>
      <c r="N117" s="20" t="str">
        <f t="shared" si="14"/>
        <v/>
      </c>
      <c r="O117" t="str">
        <f t="shared" si="15"/>
        <v/>
      </c>
    </row>
    <row r="118" spans="8:15" x14ac:dyDescent="0.3">
      <c r="H118" s="19" t="str">
        <f t="shared" si="8"/>
        <v/>
      </c>
      <c r="I118" s="19" t="str">
        <f t="shared" si="9"/>
        <v/>
      </c>
      <c r="J118" s="19" t="str">
        <f t="shared" si="10"/>
        <v/>
      </c>
      <c r="K118" s="19" t="str">
        <f t="shared" si="11"/>
        <v/>
      </c>
      <c r="L118" s="19" t="str">
        <f t="shared" si="12"/>
        <v/>
      </c>
      <c r="M118" s="19" t="str">
        <f t="shared" si="13"/>
        <v/>
      </c>
      <c r="N118" s="20" t="str">
        <f t="shared" si="14"/>
        <v/>
      </c>
      <c r="O118" t="str">
        <f t="shared" si="15"/>
        <v/>
      </c>
    </row>
    <row r="119" spans="8:15" x14ac:dyDescent="0.3">
      <c r="H119" s="19" t="str">
        <f t="shared" si="8"/>
        <v/>
      </c>
      <c r="I119" s="19" t="str">
        <f t="shared" si="9"/>
        <v/>
      </c>
      <c r="J119" s="19" t="str">
        <f t="shared" si="10"/>
        <v/>
      </c>
      <c r="K119" s="19" t="str">
        <f t="shared" si="11"/>
        <v/>
      </c>
      <c r="L119" s="19" t="str">
        <f t="shared" si="12"/>
        <v/>
      </c>
      <c r="M119" s="19" t="str">
        <f t="shared" si="13"/>
        <v/>
      </c>
      <c r="N119" s="20" t="str">
        <f t="shared" si="14"/>
        <v/>
      </c>
      <c r="O119" t="str">
        <f t="shared" si="15"/>
        <v/>
      </c>
    </row>
    <row r="120" spans="8:15" x14ac:dyDescent="0.3">
      <c r="H120" s="19" t="str">
        <f t="shared" si="8"/>
        <v/>
      </c>
      <c r="I120" s="19" t="str">
        <f t="shared" si="9"/>
        <v/>
      </c>
      <c r="J120" s="19" t="str">
        <f t="shared" si="10"/>
        <v/>
      </c>
      <c r="K120" s="19" t="str">
        <f t="shared" si="11"/>
        <v/>
      </c>
      <c r="L120" s="19" t="str">
        <f t="shared" si="12"/>
        <v/>
      </c>
      <c r="M120" s="19" t="str">
        <f t="shared" si="13"/>
        <v/>
      </c>
      <c r="N120" s="20" t="str">
        <f t="shared" si="14"/>
        <v/>
      </c>
      <c r="O120" t="str">
        <f t="shared" si="15"/>
        <v/>
      </c>
    </row>
    <row r="121" spans="8:15" x14ac:dyDescent="0.3">
      <c r="H121" s="19" t="str">
        <f t="shared" si="8"/>
        <v/>
      </c>
      <c r="I121" s="19" t="str">
        <f t="shared" si="9"/>
        <v/>
      </c>
      <c r="J121" s="19" t="str">
        <f t="shared" si="10"/>
        <v/>
      </c>
      <c r="K121" s="19" t="str">
        <f t="shared" si="11"/>
        <v/>
      </c>
      <c r="L121" s="19" t="str">
        <f t="shared" si="12"/>
        <v/>
      </c>
      <c r="M121" s="19" t="str">
        <f t="shared" si="13"/>
        <v/>
      </c>
      <c r="N121" s="20" t="str">
        <f t="shared" si="14"/>
        <v/>
      </c>
      <c r="O121" t="str">
        <f t="shared" si="15"/>
        <v/>
      </c>
    </row>
    <row r="122" spans="8:15" x14ac:dyDescent="0.3">
      <c r="H122" s="19" t="str">
        <f t="shared" si="8"/>
        <v/>
      </c>
      <c r="I122" s="19" t="str">
        <f t="shared" si="9"/>
        <v/>
      </c>
      <c r="J122" s="19" t="str">
        <f t="shared" si="10"/>
        <v/>
      </c>
      <c r="K122" s="19" t="str">
        <f t="shared" si="11"/>
        <v/>
      </c>
      <c r="L122" s="19" t="str">
        <f t="shared" si="12"/>
        <v/>
      </c>
      <c r="M122" s="19" t="str">
        <f t="shared" si="13"/>
        <v/>
      </c>
      <c r="N122" s="20" t="str">
        <f t="shared" si="14"/>
        <v/>
      </c>
      <c r="O122" t="str">
        <f t="shared" si="15"/>
        <v/>
      </c>
    </row>
    <row r="123" spans="8:15" x14ac:dyDescent="0.3">
      <c r="H123" s="19" t="str">
        <f t="shared" si="8"/>
        <v/>
      </c>
      <c r="I123" s="19" t="str">
        <f t="shared" si="9"/>
        <v/>
      </c>
      <c r="J123" s="19" t="str">
        <f t="shared" si="10"/>
        <v/>
      </c>
      <c r="K123" s="19" t="str">
        <f t="shared" si="11"/>
        <v/>
      </c>
      <c r="L123" s="19" t="str">
        <f t="shared" si="12"/>
        <v/>
      </c>
      <c r="M123" s="19" t="str">
        <f t="shared" si="13"/>
        <v/>
      </c>
      <c r="N123" s="20" t="str">
        <f t="shared" si="14"/>
        <v/>
      </c>
      <c r="O123" t="str">
        <f t="shared" si="15"/>
        <v/>
      </c>
    </row>
    <row r="124" spans="8:15" x14ac:dyDescent="0.3">
      <c r="H124" s="19" t="str">
        <f t="shared" si="8"/>
        <v/>
      </c>
      <c r="I124" s="19" t="str">
        <f t="shared" si="9"/>
        <v/>
      </c>
      <c r="J124" s="19" t="str">
        <f t="shared" si="10"/>
        <v/>
      </c>
      <c r="K124" s="19" t="str">
        <f t="shared" si="11"/>
        <v/>
      </c>
      <c r="L124" s="19" t="str">
        <f t="shared" si="12"/>
        <v/>
      </c>
      <c r="M124" s="19" t="str">
        <f t="shared" si="13"/>
        <v/>
      </c>
      <c r="N124" s="20" t="str">
        <f t="shared" si="14"/>
        <v/>
      </c>
      <c r="O124" t="str">
        <f t="shared" si="15"/>
        <v/>
      </c>
    </row>
    <row r="125" spans="8:15" x14ac:dyDescent="0.3">
      <c r="H125" s="19" t="str">
        <f t="shared" si="8"/>
        <v/>
      </c>
      <c r="I125" s="19" t="str">
        <f t="shared" si="9"/>
        <v/>
      </c>
      <c r="J125" s="19" t="str">
        <f t="shared" si="10"/>
        <v/>
      </c>
      <c r="K125" s="19" t="str">
        <f t="shared" si="11"/>
        <v/>
      </c>
      <c r="L125" s="19" t="str">
        <f t="shared" si="12"/>
        <v/>
      </c>
      <c r="M125" s="19" t="str">
        <f t="shared" si="13"/>
        <v/>
      </c>
      <c r="N125" s="20" t="str">
        <f t="shared" si="14"/>
        <v/>
      </c>
      <c r="O125" t="str">
        <f t="shared" si="15"/>
        <v/>
      </c>
    </row>
    <row r="126" spans="8:15" x14ac:dyDescent="0.3">
      <c r="H126" s="19" t="str">
        <f t="shared" si="8"/>
        <v/>
      </c>
      <c r="I126" s="19" t="str">
        <f t="shared" si="9"/>
        <v/>
      </c>
      <c r="J126" s="19" t="str">
        <f t="shared" si="10"/>
        <v/>
      </c>
      <c r="K126" s="19" t="str">
        <f t="shared" si="11"/>
        <v/>
      </c>
      <c r="L126" s="19" t="str">
        <f t="shared" si="12"/>
        <v/>
      </c>
      <c r="M126" s="19" t="str">
        <f t="shared" si="13"/>
        <v/>
      </c>
      <c r="N126" s="20" t="str">
        <f t="shared" si="14"/>
        <v/>
      </c>
      <c r="O126" t="str">
        <f t="shared" si="15"/>
        <v/>
      </c>
    </row>
    <row r="127" spans="8:15" x14ac:dyDescent="0.3">
      <c r="H127" s="19" t="str">
        <f t="shared" si="8"/>
        <v/>
      </c>
      <c r="I127" s="19" t="str">
        <f t="shared" si="9"/>
        <v/>
      </c>
      <c r="J127" s="19" t="str">
        <f t="shared" si="10"/>
        <v/>
      </c>
      <c r="K127" s="19" t="str">
        <f t="shared" si="11"/>
        <v/>
      </c>
      <c r="L127" s="19" t="str">
        <f t="shared" si="12"/>
        <v/>
      </c>
      <c r="M127" s="19" t="str">
        <f t="shared" si="13"/>
        <v/>
      </c>
      <c r="N127" s="20" t="str">
        <f t="shared" si="14"/>
        <v/>
      </c>
      <c r="O127" t="str">
        <f t="shared" si="15"/>
        <v/>
      </c>
    </row>
    <row r="128" spans="8:15" x14ac:dyDescent="0.3">
      <c r="H128" s="19" t="str">
        <f t="shared" si="8"/>
        <v/>
      </c>
      <c r="I128" s="19" t="str">
        <f t="shared" si="9"/>
        <v/>
      </c>
      <c r="J128" s="19" t="str">
        <f t="shared" si="10"/>
        <v/>
      </c>
      <c r="K128" s="19" t="str">
        <f t="shared" si="11"/>
        <v/>
      </c>
      <c r="L128" s="19" t="str">
        <f t="shared" si="12"/>
        <v/>
      </c>
      <c r="M128" s="19" t="str">
        <f t="shared" si="13"/>
        <v/>
      </c>
      <c r="N128" s="20" t="str">
        <f t="shared" si="14"/>
        <v/>
      </c>
      <c r="O128" t="str">
        <f t="shared" si="15"/>
        <v/>
      </c>
    </row>
    <row r="129" spans="8:15" x14ac:dyDescent="0.3">
      <c r="H129" s="19" t="str">
        <f t="shared" si="8"/>
        <v/>
      </c>
      <c r="I129" s="19" t="str">
        <f t="shared" si="9"/>
        <v/>
      </c>
      <c r="J129" s="19" t="str">
        <f t="shared" si="10"/>
        <v/>
      </c>
      <c r="K129" s="19" t="str">
        <f t="shared" si="11"/>
        <v/>
      </c>
      <c r="L129" s="19" t="str">
        <f t="shared" si="12"/>
        <v/>
      </c>
      <c r="M129" s="19" t="str">
        <f t="shared" si="13"/>
        <v/>
      </c>
      <c r="N129" s="20" t="str">
        <f t="shared" si="14"/>
        <v/>
      </c>
      <c r="O129" t="str">
        <f t="shared" si="15"/>
        <v/>
      </c>
    </row>
    <row r="130" spans="8:15" x14ac:dyDescent="0.3">
      <c r="H130" s="19" t="str">
        <f t="shared" si="8"/>
        <v/>
      </c>
      <c r="I130" s="19" t="str">
        <f t="shared" si="9"/>
        <v/>
      </c>
      <c r="J130" s="19" t="str">
        <f t="shared" si="10"/>
        <v/>
      </c>
      <c r="K130" s="19" t="str">
        <f t="shared" si="11"/>
        <v/>
      </c>
      <c r="L130" s="19" t="str">
        <f t="shared" si="12"/>
        <v/>
      </c>
      <c r="M130" s="19" t="str">
        <f t="shared" si="13"/>
        <v/>
      </c>
      <c r="N130" s="20" t="str">
        <f t="shared" si="14"/>
        <v/>
      </c>
      <c r="O130" t="str">
        <f t="shared" si="15"/>
        <v/>
      </c>
    </row>
    <row r="131" spans="8:15" x14ac:dyDescent="0.3">
      <c r="H131" s="19" t="str">
        <f t="shared" ref="H131:H194" si="16">IF(AND(B131&lt;&gt;"",D131&lt;&gt;""),D131/1.6021766341/B131,"")</f>
        <v/>
      </c>
      <c r="I131" s="19" t="str">
        <f t="shared" ref="I131:I194" si="17">IF(AND(B131&lt;&gt;"",D131&lt;&gt;"",C131&lt;&gt;""),D131*C131^2*0.000001,"")</f>
        <v/>
      </c>
      <c r="J131" s="19" t="str">
        <f t="shared" ref="J131:J194" si="18">IF(AND(A131&lt;&gt;"",B131&lt;&gt;"",C131&lt;&gt;""),(B131/2.509412225*(EXP(C131/86.17333262-2)-1.075*EXP(-2)))^(2/3)*300/A131,"")</f>
        <v/>
      </c>
      <c r="K131" s="19" t="str">
        <f t="shared" ref="K131:K194" si="19">IF(J131&lt;&gt;"",H131*(1+(J131*A131/300)^(-3/2)*B131/(2*2.509412225))^(1/3),"")</f>
        <v/>
      </c>
      <c r="L131" s="19" t="str">
        <f t="shared" ref="L131:L194" si="20">IF(AND(A131&lt;&gt;"",M131&lt;&gt;""),M131*(300/A131)^(3/2),"")</f>
        <v/>
      </c>
      <c r="M131" s="19" t="str">
        <f t="shared" ref="M131:M194" si="21">IF(AND(C131&lt;&gt;"",D131&lt;&gt;""),D131/4.02052163221989*(EXP(C131/86.17333262-2)-1.075*EXP(-2))*(1+0.5/(EXP(C131/86.17333262-2)-1.075*EXP(-2)))^(1/3),"")</f>
        <v/>
      </c>
      <c r="N131" s="20" t="str">
        <f t="shared" ref="N131:N194" si="22">IF(M131&lt;&gt;"",0.12122458*M131,"")</f>
        <v/>
      </c>
      <c r="O131" t="str">
        <f t="shared" ref="O131:O194" si="23">IF(AND(B131&lt;&gt;"",C131&lt;&gt;""),1.255*B131*(EXP(C131/86.17333262-2)-1.075*EXP(-2)),"")</f>
        <v/>
      </c>
    </row>
    <row r="132" spans="8:15" x14ac:dyDescent="0.3">
      <c r="H132" s="19" t="str">
        <f t="shared" si="16"/>
        <v/>
      </c>
      <c r="I132" s="19" t="str">
        <f t="shared" si="17"/>
        <v/>
      </c>
      <c r="J132" s="19" t="str">
        <f t="shared" si="18"/>
        <v/>
      </c>
      <c r="K132" s="19" t="str">
        <f t="shared" si="19"/>
        <v/>
      </c>
      <c r="L132" s="19" t="str">
        <f t="shared" si="20"/>
        <v/>
      </c>
      <c r="M132" s="19" t="str">
        <f t="shared" si="21"/>
        <v/>
      </c>
      <c r="N132" s="20" t="str">
        <f t="shared" si="22"/>
        <v/>
      </c>
      <c r="O132" t="str">
        <f t="shared" si="23"/>
        <v/>
      </c>
    </row>
    <row r="133" spans="8:15" x14ac:dyDescent="0.3">
      <c r="H133" s="19" t="str">
        <f t="shared" si="16"/>
        <v/>
      </c>
      <c r="I133" s="19" t="str">
        <f t="shared" si="17"/>
        <v/>
      </c>
      <c r="J133" s="19" t="str">
        <f t="shared" si="18"/>
        <v/>
      </c>
      <c r="K133" s="19" t="str">
        <f t="shared" si="19"/>
        <v/>
      </c>
      <c r="L133" s="19" t="str">
        <f t="shared" si="20"/>
        <v/>
      </c>
      <c r="M133" s="19" t="str">
        <f t="shared" si="21"/>
        <v/>
      </c>
      <c r="N133" s="20" t="str">
        <f t="shared" si="22"/>
        <v/>
      </c>
      <c r="O133" t="str">
        <f t="shared" si="23"/>
        <v/>
      </c>
    </row>
    <row r="134" spans="8:15" x14ac:dyDescent="0.3">
      <c r="H134" s="19" t="str">
        <f t="shared" si="16"/>
        <v/>
      </c>
      <c r="I134" s="19" t="str">
        <f t="shared" si="17"/>
        <v/>
      </c>
      <c r="J134" s="19" t="str">
        <f t="shared" si="18"/>
        <v/>
      </c>
      <c r="K134" s="19" t="str">
        <f t="shared" si="19"/>
        <v/>
      </c>
      <c r="L134" s="19" t="str">
        <f t="shared" si="20"/>
        <v/>
      </c>
      <c r="M134" s="19" t="str">
        <f t="shared" si="21"/>
        <v/>
      </c>
      <c r="N134" s="20" t="str">
        <f t="shared" si="22"/>
        <v/>
      </c>
      <c r="O134" t="str">
        <f t="shared" si="23"/>
        <v/>
      </c>
    </row>
    <row r="135" spans="8:15" x14ac:dyDescent="0.3">
      <c r="H135" s="19" t="str">
        <f t="shared" si="16"/>
        <v/>
      </c>
      <c r="I135" s="19" t="str">
        <f t="shared" si="17"/>
        <v/>
      </c>
      <c r="J135" s="19" t="str">
        <f t="shared" si="18"/>
        <v/>
      </c>
      <c r="K135" s="19" t="str">
        <f t="shared" si="19"/>
        <v/>
      </c>
      <c r="L135" s="19" t="str">
        <f t="shared" si="20"/>
        <v/>
      </c>
      <c r="M135" s="19" t="str">
        <f t="shared" si="21"/>
        <v/>
      </c>
      <c r="N135" s="20" t="str">
        <f t="shared" si="22"/>
        <v/>
      </c>
      <c r="O135" t="str">
        <f t="shared" si="23"/>
        <v/>
      </c>
    </row>
    <row r="136" spans="8:15" x14ac:dyDescent="0.3">
      <c r="H136" s="19" t="str">
        <f t="shared" si="16"/>
        <v/>
      </c>
      <c r="I136" s="19" t="str">
        <f t="shared" si="17"/>
        <v/>
      </c>
      <c r="J136" s="19" t="str">
        <f t="shared" si="18"/>
        <v/>
      </c>
      <c r="K136" s="19" t="str">
        <f t="shared" si="19"/>
        <v/>
      </c>
      <c r="L136" s="19" t="str">
        <f t="shared" si="20"/>
        <v/>
      </c>
      <c r="M136" s="19" t="str">
        <f t="shared" si="21"/>
        <v/>
      </c>
      <c r="N136" s="20" t="str">
        <f t="shared" si="22"/>
        <v/>
      </c>
      <c r="O136" t="str">
        <f t="shared" si="23"/>
        <v/>
      </c>
    </row>
    <row r="137" spans="8:15" x14ac:dyDescent="0.3">
      <c r="H137" s="19" t="str">
        <f t="shared" si="16"/>
        <v/>
      </c>
      <c r="I137" s="19" t="str">
        <f t="shared" si="17"/>
        <v/>
      </c>
      <c r="J137" s="19" t="str">
        <f t="shared" si="18"/>
        <v/>
      </c>
      <c r="K137" s="19" t="str">
        <f t="shared" si="19"/>
        <v/>
      </c>
      <c r="L137" s="19" t="str">
        <f t="shared" si="20"/>
        <v/>
      </c>
      <c r="M137" s="19" t="str">
        <f t="shared" si="21"/>
        <v/>
      </c>
      <c r="N137" s="20" t="str">
        <f t="shared" si="22"/>
        <v/>
      </c>
      <c r="O137" t="str">
        <f t="shared" si="23"/>
        <v/>
      </c>
    </row>
    <row r="138" spans="8:15" x14ac:dyDescent="0.3">
      <c r="H138" s="19" t="str">
        <f t="shared" si="16"/>
        <v/>
      </c>
      <c r="I138" s="19" t="str">
        <f t="shared" si="17"/>
        <v/>
      </c>
      <c r="J138" s="19" t="str">
        <f t="shared" si="18"/>
        <v/>
      </c>
      <c r="K138" s="19" t="str">
        <f t="shared" si="19"/>
        <v/>
      </c>
      <c r="L138" s="19" t="str">
        <f t="shared" si="20"/>
        <v/>
      </c>
      <c r="M138" s="19" t="str">
        <f t="shared" si="21"/>
        <v/>
      </c>
      <c r="N138" s="20" t="str">
        <f t="shared" si="22"/>
        <v/>
      </c>
      <c r="O138" t="str">
        <f t="shared" si="23"/>
        <v/>
      </c>
    </row>
    <row r="139" spans="8:15" x14ac:dyDescent="0.3">
      <c r="H139" s="19" t="str">
        <f t="shared" si="16"/>
        <v/>
      </c>
      <c r="I139" s="19" t="str">
        <f t="shared" si="17"/>
        <v/>
      </c>
      <c r="J139" s="19" t="str">
        <f t="shared" si="18"/>
        <v/>
      </c>
      <c r="K139" s="19" t="str">
        <f t="shared" si="19"/>
        <v/>
      </c>
      <c r="L139" s="19" t="str">
        <f t="shared" si="20"/>
        <v/>
      </c>
      <c r="M139" s="19" t="str">
        <f t="shared" si="21"/>
        <v/>
      </c>
      <c r="N139" s="20" t="str">
        <f t="shared" si="22"/>
        <v/>
      </c>
      <c r="O139" t="str">
        <f t="shared" si="23"/>
        <v/>
      </c>
    </row>
    <row r="140" spans="8:15" x14ac:dyDescent="0.3">
      <c r="H140" s="19" t="str">
        <f t="shared" si="16"/>
        <v/>
      </c>
      <c r="I140" s="19" t="str">
        <f t="shared" si="17"/>
        <v/>
      </c>
      <c r="J140" s="19" t="str">
        <f t="shared" si="18"/>
        <v/>
      </c>
      <c r="K140" s="19" t="str">
        <f t="shared" si="19"/>
        <v/>
      </c>
      <c r="L140" s="19" t="str">
        <f t="shared" si="20"/>
        <v/>
      </c>
      <c r="M140" s="19" t="str">
        <f t="shared" si="21"/>
        <v/>
      </c>
      <c r="N140" s="20" t="str">
        <f t="shared" si="22"/>
        <v/>
      </c>
      <c r="O140" t="str">
        <f t="shared" si="23"/>
        <v/>
      </c>
    </row>
    <row r="141" spans="8:15" x14ac:dyDescent="0.3">
      <c r="H141" s="19" t="str">
        <f t="shared" si="16"/>
        <v/>
      </c>
      <c r="I141" s="19" t="str">
        <f t="shared" si="17"/>
        <v/>
      </c>
      <c r="J141" s="19" t="str">
        <f t="shared" si="18"/>
        <v/>
      </c>
      <c r="K141" s="19" t="str">
        <f t="shared" si="19"/>
        <v/>
      </c>
      <c r="L141" s="19" t="str">
        <f t="shared" si="20"/>
        <v/>
      </c>
      <c r="M141" s="19" t="str">
        <f t="shared" si="21"/>
        <v/>
      </c>
      <c r="N141" s="20" t="str">
        <f t="shared" si="22"/>
        <v/>
      </c>
      <c r="O141" t="str">
        <f t="shared" si="23"/>
        <v/>
      </c>
    </row>
    <row r="142" spans="8:15" x14ac:dyDescent="0.3">
      <c r="H142" s="19" t="str">
        <f t="shared" si="16"/>
        <v/>
      </c>
      <c r="I142" s="19" t="str">
        <f t="shared" si="17"/>
        <v/>
      </c>
      <c r="J142" s="19" t="str">
        <f t="shared" si="18"/>
        <v/>
      </c>
      <c r="K142" s="19" t="str">
        <f t="shared" si="19"/>
        <v/>
      </c>
      <c r="L142" s="19" t="str">
        <f t="shared" si="20"/>
        <v/>
      </c>
      <c r="M142" s="19" t="str">
        <f t="shared" si="21"/>
        <v/>
      </c>
      <c r="N142" s="20" t="str">
        <f t="shared" si="22"/>
        <v/>
      </c>
      <c r="O142" t="str">
        <f t="shared" si="23"/>
        <v/>
      </c>
    </row>
    <row r="143" spans="8:15" x14ac:dyDescent="0.3">
      <c r="H143" s="19" t="str">
        <f t="shared" si="16"/>
        <v/>
      </c>
      <c r="I143" s="19" t="str">
        <f t="shared" si="17"/>
        <v/>
      </c>
      <c r="J143" s="19" t="str">
        <f t="shared" si="18"/>
        <v/>
      </c>
      <c r="K143" s="19" t="str">
        <f t="shared" si="19"/>
        <v/>
      </c>
      <c r="L143" s="19" t="str">
        <f t="shared" si="20"/>
        <v/>
      </c>
      <c r="M143" s="19" t="str">
        <f t="shared" si="21"/>
        <v/>
      </c>
      <c r="N143" s="20" t="str">
        <f t="shared" si="22"/>
        <v/>
      </c>
      <c r="O143" t="str">
        <f t="shared" si="23"/>
        <v/>
      </c>
    </row>
    <row r="144" spans="8:15" x14ac:dyDescent="0.3">
      <c r="H144" s="19" t="str">
        <f t="shared" si="16"/>
        <v/>
      </c>
      <c r="I144" s="19" t="str">
        <f t="shared" si="17"/>
        <v/>
      </c>
      <c r="J144" s="19" t="str">
        <f t="shared" si="18"/>
        <v/>
      </c>
      <c r="K144" s="19" t="str">
        <f t="shared" si="19"/>
        <v/>
      </c>
      <c r="L144" s="19" t="str">
        <f t="shared" si="20"/>
        <v/>
      </c>
      <c r="M144" s="19" t="str">
        <f t="shared" si="21"/>
        <v/>
      </c>
      <c r="N144" s="20" t="str">
        <f t="shared" si="22"/>
        <v/>
      </c>
      <c r="O144" t="str">
        <f t="shared" si="23"/>
        <v/>
      </c>
    </row>
    <row r="145" spans="8:15" x14ac:dyDescent="0.3">
      <c r="H145" s="19" t="str">
        <f t="shared" si="16"/>
        <v/>
      </c>
      <c r="I145" s="19" t="str">
        <f t="shared" si="17"/>
        <v/>
      </c>
      <c r="J145" s="19" t="str">
        <f t="shared" si="18"/>
        <v/>
      </c>
      <c r="K145" s="19" t="str">
        <f t="shared" si="19"/>
        <v/>
      </c>
      <c r="L145" s="19" t="str">
        <f t="shared" si="20"/>
        <v/>
      </c>
      <c r="M145" s="19" t="str">
        <f t="shared" si="21"/>
        <v/>
      </c>
      <c r="N145" s="20" t="str">
        <f t="shared" si="22"/>
        <v/>
      </c>
      <c r="O145" t="str">
        <f t="shared" si="23"/>
        <v/>
      </c>
    </row>
    <row r="146" spans="8:15" x14ac:dyDescent="0.3">
      <c r="H146" s="19" t="str">
        <f t="shared" si="16"/>
        <v/>
      </c>
      <c r="I146" s="19" t="str">
        <f t="shared" si="17"/>
        <v/>
      </c>
      <c r="J146" s="19" t="str">
        <f t="shared" si="18"/>
        <v/>
      </c>
      <c r="K146" s="19" t="str">
        <f t="shared" si="19"/>
        <v/>
      </c>
      <c r="L146" s="19" t="str">
        <f t="shared" si="20"/>
        <v/>
      </c>
      <c r="M146" s="19" t="str">
        <f t="shared" si="21"/>
        <v/>
      </c>
      <c r="N146" s="20" t="str">
        <f t="shared" si="22"/>
        <v/>
      </c>
      <c r="O146" t="str">
        <f t="shared" si="23"/>
        <v/>
      </c>
    </row>
    <row r="147" spans="8:15" x14ac:dyDescent="0.3">
      <c r="H147" s="19" t="str">
        <f t="shared" si="16"/>
        <v/>
      </c>
      <c r="I147" s="19" t="str">
        <f t="shared" si="17"/>
        <v/>
      </c>
      <c r="J147" s="19" t="str">
        <f t="shared" si="18"/>
        <v/>
      </c>
      <c r="K147" s="19" t="str">
        <f t="shared" si="19"/>
        <v/>
      </c>
      <c r="L147" s="19" t="str">
        <f t="shared" si="20"/>
        <v/>
      </c>
      <c r="M147" s="19" t="str">
        <f t="shared" si="21"/>
        <v/>
      </c>
      <c r="N147" s="20" t="str">
        <f t="shared" si="22"/>
        <v/>
      </c>
      <c r="O147" t="str">
        <f t="shared" si="23"/>
        <v/>
      </c>
    </row>
    <row r="148" spans="8:15" x14ac:dyDescent="0.3">
      <c r="H148" s="19" t="str">
        <f t="shared" si="16"/>
        <v/>
      </c>
      <c r="I148" s="19" t="str">
        <f t="shared" si="17"/>
        <v/>
      </c>
      <c r="J148" s="19" t="str">
        <f t="shared" si="18"/>
        <v/>
      </c>
      <c r="K148" s="19" t="str">
        <f t="shared" si="19"/>
        <v/>
      </c>
      <c r="L148" s="19" t="str">
        <f t="shared" si="20"/>
        <v/>
      </c>
      <c r="M148" s="19" t="str">
        <f t="shared" si="21"/>
        <v/>
      </c>
      <c r="N148" s="20" t="str">
        <f t="shared" si="22"/>
        <v/>
      </c>
      <c r="O148" t="str">
        <f t="shared" si="23"/>
        <v/>
      </c>
    </row>
    <row r="149" spans="8:15" x14ac:dyDescent="0.3">
      <c r="H149" s="19" t="str">
        <f t="shared" si="16"/>
        <v/>
      </c>
      <c r="I149" s="19" t="str">
        <f t="shared" si="17"/>
        <v/>
      </c>
      <c r="J149" s="19" t="str">
        <f t="shared" si="18"/>
        <v/>
      </c>
      <c r="K149" s="19" t="str">
        <f t="shared" si="19"/>
        <v/>
      </c>
      <c r="L149" s="19" t="str">
        <f t="shared" si="20"/>
        <v/>
      </c>
      <c r="M149" s="19" t="str">
        <f t="shared" si="21"/>
        <v/>
      </c>
      <c r="N149" s="20" t="str">
        <f t="shared" si="22"/>
        <v/>
      </c>
      <c r="O149" t="str">
        <f t="shared" si="23"/>
        <v/>
      </c>
    </row>
    <row r="150" spans="8:15" x14ac:dyDescent="0.3">
      <c r="H150" s="19" t="str">
        <f t="shared" si="16"/>
        <v/>
      </c>
      <c r="I150" s="19" t="str">
        <f t="shared" si="17"/>
        <v/>
      </c>
      <c r="J150" s="19" t="str">
        <f t="shared" si="18"/>
        <v/>
      </c>
      <c r="K150" s="19" t="str">
        <f t="shared" si="19"/>
        <v/>
      </c>
      <c r="L150" s="19" t="str">
        <f t="shared" si="20"/>
        <v/>
      </c>
      <c r="M150" s="19" t="str">
        <f t="shared" si="21"/>
        <v/>
      </c>
      <c r="N150" s="20" t="str">
        <f t="shared" si="22"/>
        <v/>
      </c>
      <c r="O150" t="str">
        <f t="shared" si="23"/>
        <v/>
      </c>
    </row>
    <row r="151" spans="8:15" x14ac:dyDescent="0.3">
      <c r="H151" s="19" t="str">
        <f t="shared" si="16"/>
        <v/>
      </c>
      <c r="I151" s="19" t="str">
        <f t="shared" si="17"/>
        <v/>
      </c>
      <c r="J151" s="19" t="str">
        <f t="shared" si="18"/>
        <v/>
      </c>
      <c r="K151" s="19" t="str">
        <f t="shared" si="19"/>
        <v/>
      </c>
      <c r="L151" s="19" t="str">
        <f t="shared" si="20"/>
        <v/>
      </c>
      <c r="M151" s="19" t="str">
        <f t="shared" si="21"/>
        <v/>
      </c>
      <c r="N151" s="20" t="str">
        <f t="shared" si="22"/>
        <v/>
      </c>
      <c r="O151" t="str">
        <f t="shared" si="23"/>
        <v/>
      </c>
    </row>
    <row r="152" spans="8:15" x14ac:dyDescent="0.3">
      <c r="H152" s="19" t="str">
        <f t="shared" si="16"/>
        <v/>
      </c>
      <c r="I152" s="19" t="str">
        <f t="shared" si="17"/>
        <v/>
      </c>
      <c r="J152" s="19" t="str">
        <f t="shared" si="18"/>
        <v/>
      </c>
      <c r="K152" s="19" t="str">
        <f t="shared" si="19"/>
        <v/>
      </c>
      <c r="L152" s="19" t="str">
        <f t="shared" si="20"/>
        <v/>
      </c>
      <c r="M152" s="19" t="str">
        <f t="shared" si="21"/>
        <v/>
      </c>
      <c r="N152" s="20" t="str">
        <f t="shared" si="22"/>
        <v/>
      </c>
      <c r="O152" t="str">
        <f t="shared" si="23"/>
        <v/>
      </c>
    </row>
    <row r="153" spans="8:15" x14ac:dyDescent="0.3">
      <c r="H153" s="19" t="str">
        <f t="shared" si="16"/>
        <v/>
      </c>
      <c r="I153" s="19" t="str">
        <f t="shared" si="17"/>
        <v/>
      </c>
      <c r="J153" s="19" t="str">
        <f t="shared" si="18"/>
        <v/>
      </c>
      <c r="K153" s="19" t="str">
        <f t="shared" si="19"/>
        <v/>
      </c>
      <c r="L153" s="19" t="str">
        <f t="shared" si="20"/>
        <v/>
      </c>
      <c r="M153" s="19" t="str">
        <f t="shared" si="21"/>
        <v/>
      </c>
      <c r="N153" s="20" t="str">
        <f t="shared" si="22"/>
        <v/>
      </c>
      <c r="O153" t="str">
        <f t="shared" si="23"/>
        <v/>
      </c>
    </row>
    <row r="154" spans="8:15" x14ac:dyDescent="0.3">
      <c r="H154" s="19" t="str">
        <f t="shared" si="16"/>
        <v/>
      </c>
      <c r="I154" s="19" t="str">
        <f t="shared" si="17"/>
        <v/>
      </c>
      <c r="J154" s="19" t="str">
        <f t="shared" si="18"/>
        <v/>
      </c>
      <c r="K154" s="19" t="str">
        <f t="shared" si="19"/>
        <v/>
      </c>
      <c r="L154" s="19" t="str">
        <f t="shared" si="20"/>
        <v/>
      </c>
      <c r="M154" s="19" t="str">
        <f t="shared" si="21"/>
        <v/>
      </c>
      <c r="N154" s="20" t="str">
        <f t="shared" si="22"/>
        <v/>
      </c>
      <c r="O154" t="str">
        <f t="shared" si="23"/>
        <v/>
      </c>
    </row>
    <row r="155" spans="8:15" x14ac:dyDescent="0.3">
      <c r="H155" s="19" t="str">
        <f t="shared" si="16"/>
        <v/>
      </c>
      <c r="I155" s="19" t="str">
        <f t="shared" si="17"/>
        <v/>
      </c>
      <c r="J155" s="19" t="str">
        <f t="shared" si="18"/>
        <v/>
      </c>
      <c r="K155" s="19" t="str">
        <f t="shared" si="19"/>
        <v/>
      </c>
      <c r="L155" s="19" t="str">
        <f t="shared" si="20"/>
        <v/>
      </c>
      <c r="M155" s="19" t="str">
        <f t="shared" si="21"/>
        <v/>
      </c>
      <c r="N155" s="20" t="str">
        <f t="shared" si="22"/>
        <v/>
      </c>
      <c r="O155" t="str">
        <f t="shared" si="23"/>
        <v/>
      </c>
    </row>
    <row r="156" spans="8:15" x14ac:dyDescent="0.3">
      <c r="H156" s="19" t="str">
        <f t="shared" si="16"/>
        <v/>
      </c>
      <c r="I156" s="19" t="str">
        <f t="shared" si="17"/>
        <v/>
      </c>
      <c r="J156" s="19" t="str">
        <f t="shared" si="18"/>
        <v/>
      </c>
      <c r="K156" s="19" t="str">
        <f t="shared" si="19"/>
        <v/>
      </c>
      <c r="L156" s="19" t="str">
        <f t="shared" si="20"/>
        <v/>
      </c>
      <c r="M156" s="19" t="str">
        <f t="shared" si="21"/>
        <v/>
      </c>
      <c r="N156" s="20" t="str">
        <f t="shared" si="22"/>
        <v/>
      </c>
      <c r="O156" t="str">
        <f t="shared" si="23"/>
        <v/>
      </c>
    </row>
    <row r="157" spans="8:15" x14ac:dyDescent="0.3">
      <c r="H157" s="19" t="str">
        <f t="shared" si="16"/>
        <v/>
      </c>
      <c r="I157" s="19" t="str">
        <f t="shared" si="17"/>
        <v/>
      </c>
      <c r="J157" s="19" t="str">
        <f t="shared" si="18"/>
        <v/>
      </c>
      <c r="K157" s="19" t="str">
        <f t="shared" si="19"/>
        <v/>
      </c>
      <c r="L157" s="19" t="str">
        <f t="shared" si="20"/>
        <v/>
      </c>
      <c r="M157" s="19" t="str">
        <f t="shared" si="21"/>
        <v/>
      </c>
      <c r="N157" s="20" t="str">
        <f t="shared" si="22"/>
        <v/>
      </c>
      <c r="O157" t="str">
        <f t="shared" si="23"/>
        <v/>
      </c>
    </row>
    <row r="158" spans="8:15" x14ac:dyDescent="0.3">
      <c r="H158" s="19" t="str">
        <f t="shared" si="16"/>
        <v/>
      </c>
      <c r="I158" s="19" t="str">
        <f t="shared" si="17"/>
        <v/>
      </c>
      <c r="J158" s="19" t="str">
        <f t="shared" si="18"/>
        <v/>
      </c>
      <c r="K158" s="19" t="str">
        <f t="shared" si="19"/>
        <v/>
      </c>
      <c r="L158" s="19" t="str">
        <f t="shared" si="20"/>
        <v/>
      </c>
      <c r="M158" s="19" t="str">
        <f t="shared" si="21"/>
        <v/>
      </c>
      <c r="N158" s="20" t="str">
        <f t="shared" si="22"/>
        <v/>
      </c>
      <c r="O158" t="str">
        <f t="shared" si="23"/>
        <v/>
      </c>
    </row>
    <row r="159" spans="8:15" x14ac:dyDescent="0.3">
      <c r="H159" s="19" t="str">
        <f t="shared" si="16"/>
        <v/>
      </c>
      <c r="I159" s="19" t="str">
        <f t="shared" si="17"/>
        <v/>
      </c>
      <c r="J159" s="19" t="str">
        <f t="shared" si="18"/>
        <v/>
      </c>
      <c r="K159" s="19" t="str">
        <f t="shared" si="19"/>
        <v/>
      </c>
      <c r="L159" s="19" t="str">
        <f t="shared" si="20"/>
        <v/>
      </c>
      <c r="M159" s="19" t="str">
        <f t="shared" si="21"/>
        <v/>
      </c>
      <c r="N159" s="20" t="str">
        <f t="shared" si="22"/>
        <v/>
      </c>
      <c r="O159" t="str">
        <f t="shared" si="23"/>
        <v/>
      </c>
    </row>
    <row r="160" spans="8:15" x14ac:dyDescent="0.3">
      <c r="H160" s="19" t="str">
        <f t="shared" si="16"/>
        <v/>
      </c>
      <c r="I160" s="19" t="str">
        <f t="shared" si="17"/>
        <v/>
      </c>
      <c r="J160" s="19" t="str">
        <f t="shared" si="18"/>
        <v/>
      </c>
      <c r="K160" s="19" t="str">
        <f t="shared" si="19"/>
        <v/>
      </c>
      <c r="L160" s="19" t="str">
        <f t="shared" si="20"/>
        <v/>
      </c>
      <c r="M160" s="19" t="str">
        <f t="shared" si="21"/>
        <v/>
      </c>
      <c r="N160" s="20" t="str">
        <f t="shared" si="22"/>
        <v/>
      </c>
      <c r="O160" t="str">
        <f t="shared" si="23"/>
        <v/>
      </c>
    </row>
    <row r="161" spans="8:15" x14ac:dyDescent="0.3">
      <c r="H161" s="19" t="str">
        <f t="shared" si="16"/>
        <v/>
      </c>
      <c r="I161" s="19" t="str">
        <f t="shared" si="17"/>
        <v/>
      </c>
      <c r="J161" s="19" t="str">
        <f t="shared" si="18"/>
        <v/>
      </c>
      <c r="K161" s="19" t="str">
        <f t="shared" si="19"/>
        <v/>
      </c>
      <c r="L161" s="19" t="str">
        <f t="shared" si="20"/>
        <v/>
      </c>
      <c r="M161" s="19" t="str">
        <f t="shared" si="21"/>
        <v/>
      </c>
      <c r="N161" s="20" t="str">
        <f t="shared" si="22"/>
        <v/>
      </c>
      <c r="O161" t="str">
        <f t="shared" si="23"/>
        <v/>
      </c>
    </row>
    <row r="162" spans="8:15" x14ac:dyDescent="0.3">
      <c r="H162" s="19" t="str">
        <f t="shared" si="16"/>
        <v/>
      </c>
      <c r="I162" s="19" t="str">
        <f t="shared" si="17"/>
        <v/>
      </c>
      <c r="J162" s="19" t="str">
        <f t="shared" si="18"/>
        <v/>
      </c>
      <c r="K162" s="19" t="str">
        <f t="shared" si="19"/>
        <v/>
      </c>
      <c r="L162" s="19" t="str">
        <f t="shared" si="20"/>
        <v/>
      </c>
      <c r="M162" s="19" t="str">
        <f t="shared" si="21"/>
        <v/>
      </c>
      <c r="N162" s="20" t="str">
        <f t="shared" si="22"/>
        <v/>
      </c>
      <c r="O162" t="str">
        <f t="shared" si="23"/>
        <v/>
      </c>
    </row>
    <row r="163" spans="8:15" x14ac:dyDescent="0.3">
      <c r="H163" s="19" t="str">
        <f t="shared" si="16"/>
        <v/>
      </c>
      <c r="I163" s="19" t="str">
        <f t="shared" si="17"/>
        <v/>
      </c>
      <c r="J163" s="19" t="str">
        <f t="shared" si="18"/>
        <v/>
      </c>
      <c r="K163" s="19" t="str">
        <f t="shared" si="19"/>
        <v/>
      </c>
      <c r="L163" s="19" t="str">
        <f t="shared" si="20"/>
        <v/>
      </c>
      <c r="M163" s="19" t="str">
        <f t="shared" si="21"/>
        <v/>
      </c>
      <c r="N163" s="20" t="str">
        <f t="shared" si="22"/>
        <v/>
      </c>
      <c r="O163" t="str">
        <f t="shared" si="23"/>
        <v/>
      </c>
    </row>
    <row r="164" spans="8:15" x14ac:dyDescent="0.3">
      <c r="H164" s="19" t="str">
        <f t="shared" si="16"/>
        <v/>
      </c>
      <c r="I164" s="19" t="str">
        <f t="shared" si="17"/>
        <v/>
      </c>
      <c r="J164" s="19" t="str">
        <f t="shared" si="18"/>
        <v/>
      </c>
      <c r="K164" s="19" t="str">
        <f t="shared" si="19"/>
        <v/>
      </c>
      <c r="L164" s="19" t="str">
        <f t="shared" si="20"/>
        <v/>
      </c>
      <c r="M164" s="19" t="str">
        <f t="shared" si="21"/>
        <v/>
      </c>
      <c r="N164" s="20" t="str">
        <f t="shared" si="22"/>
        <v/>
      </c>
      <c r="O164" t="str">
        <f t="shared" si="23"/>
        <v/>
      </c>
    </row>
    <row r="165" spans="8:15" x14ac:dyDescent="0.3">
      <c r="H165" s="19" t="str">
        <f t="shared" si="16"/>
        <v/>
      </c>
      <c r="I165" s="19" t="str">
        <f t="shared" si="17"/>
        <v/>
      </c>
      <c r="J165" s="19" t="str">
        <f t="shared" si="18"/>
        <v/>
      </c>
      <c r="K165" s="19" t="str">
        <f t="shared" si="19"/>
        <v/>
      </c>
      <c r="L165" s="19" t="str">
        <f t="shared" si="20"/>
        <v/>
      </c>
      <c r="M165" s="19" t="str">
        <f t="shared" si="21"/>
        <v/>
      </c>
      <c r="N165" s="20" t="str">
        <f t="shared" si="22"/>
        <v/>
      </c>
      <c r="O165" t="str">
        <f t="shared" si="23"/>
        <v/>
      </c>
    </row>
    <row r="166" spans="8:15" x14ac:dyDescent="0.3">
      <c r="H166" s="19" t="str">
        <f t="shared" si="16"/>
        <v/>
      </c>
      <c r="I166" s="19" t="str">
        <f t="shared" si="17"/>
        <v/>
      </c>
      <c r="J166" s="19" t="str">
        <f t="shared" si="18"/>
        <v/>
      </c>
      <c r="K166" s="19" t="str">
        <f t="shared" si="19"/>
        <v/>
      </c>
      <c r="L166" s="19" t="str">
        <f t="shared" si="20"/>
        <v/>
      </c>
      <c r="M166" s="19" t="str">
        <f t="shared" si="21"/>
        <v/>
      </c>
      <c r="N166" s="20" t="str">
        <f t="shared" si="22"/>
        <v/>
      </c>
      <c r="O166" t="str">
        <f t="shared" si="23"/>
        <v/>
      </c>
    </row>
    <row r="167" spans="8:15" x14ac:dyDescent="0.3">
      <c r="H167" s="19" t="str">
        <f t="shared" si="16"/>
        <v/>
      </c>
      <c r="I167" s="19" t="str">
        <f t="shared" si="17"/>
        <v/>
      </c>
      <c r="J167" s="19" t="str">
        <f t="shared" si="18"/>
        <v/>
      </c>
      <c r="K167" s="19" t="str">
        <f t="shared" si="19"/>
        <v/>
      </c>
      <c r="L167" s="19" t="str">
        <f t="shared" si="20"/>
        <v/>
      </c>
      <c r="M167" s="19" t="str">
        <f t="shared" si="21"/>
        <v/>
      </c>
      <c r="N167" s="20" t="str">
        <f t="shared" si="22"/>
        <v/>
      </c>
      <c r="O167" t="str">
        <f t="shared" si="23"/>
        <v/>
      </c>
    </row>
    <row r="168" spans="8:15" x14ac:dyDescent="0.3">
      <c r="H168" s="19" t="str">
        <f t="shared" si="16"/>
        <v/>
      </c>
      <c r="I168" s="19" t="str">
        <f t="shared" si="17"/>
        <v/>
      </c>
      <c r="J168" s="19" t="str">
        <f t="shared" si="18"/>
        <v/>
      </c>
      <c r="K168" s="19" t="str">
        <f t="shared" si="19"/>
        <v/>
      </c>
      <c r="L168" s="19" t="str">
        <f t="shared" si="20"/>
        <v/>
      </c>
      <c r="M168" s="19" t="str">
        <f t="shared" si="21"/>
        <v/>
      </c>
      <c r="N168" s="20" t="str">
        <f t="shared" si="22"/>
        <v/>
      </c>
      <c r="O168" t="str">
        <f t="shared" si="23"/>
        <v/>
      </c>
    </row>
    <row r="169" spans="8:15" x14ac:dyDescent="0.3">
      <c r="H169" s="19" t="str">
        <f t="shared" si="16"/>
        <v/>
      </c>
      <c r="I169" s="19" t="str">
        <f t="shared" si="17"/>
        <v/>
      </c>
      <c r="J169" s="19" t="str">
        <f t="shared" si="18"/>
        <v/>
      </c>
      <c r="K169" s="19" t="str">
        <f t="shared" si="19"/>
        <v/>
      </c>
      <c r="L169" s="19" t="str">
        <f t="shared" si="20"/>
        <v/>
      </c>
      <c r="M169" s="19" t="str">
        <f t="shared" si="21"/>
        <v/>
      </c>
      <c r="N169" s="20" t="str">
        <f t="shared" si="22"/>
        <v/>
      </c>
      <c r="O169" t="str">
        <f t="shared" si="23"/>
        <v/>
      </c>
    </row>
    <row r="170" spans="8:15" x14ac:dyDescent="0.3">
      <c r="H170" s="19" t="str">
        <f t="shared" si="16"/>
        <v/>
      </c>
      <c r="I170" s="19" t="str">
        <f t="shared" si="17"/>
        <v/>
      </c>
      <c r="J170" s="19" t="str">
        <f t="shared" si="18"/>
        <v/>
      </c>
      <c r="K170" s="19" t="str">
        <f t="shared" si="19"/>
        <v/>
      </c>
      <c r="L170" s="19" t="str">
        <f t="shared" si="20"/>
        <v/>
      </c>
      <c r="M170" s="19" t="str">
        <f t="shared" si="21"/>
        <v/>
      </c>
      <c r="N170" s="20" t="str">
        <f t="shared" si="22"/>
        <v/>
      </c>
      <c r="O170" t="str">
        <f t="shared" si="23"/>
        <v/>
      </c>
    </row>
    <row r="171" spans="8:15" x14ac:dyDescent="0.3">
      <c r="H171" s="19" t="str">
        <f t="shared" si="16"/>
        <v/>
      </c>
      <c r="I171" s="19" t="str">
        <f t="shared" si="17"/>
        <v/>
      </c>
      <c r="J171" s="19" t="str">
        <f t="shared" si="18"/>
        <v/>
      </c>
      <c r="K171" s="19" t="str">
        <f t="shared" si="19"/>
        <v/>
      </c>
      <c r="L171" s="19" t="str">
        <f t="shared" si="20"/>
        <v/>
      </c>
      <c r="M171" s="19" t="str">
        <f t="shared" si="21"/>
        <v/>
      </c>
      <c r="N171" s="20" t="str">
        <f t="shared" si="22"/>
        <v/>
      </c>
      <c r="O171" t="str">
        <f t="shared" si="23"/>
        <v/>
      </c>
    </row>
    <row r="172" spans="8:15" x14ac:dyDescent="0.3">
      <c r="H172" s="19" t="str">
        <f t="shared" si="16"/>
        <v/>
      </c>
      <c r="I172" s="19" t="str">
        <f t="shared" si="17"/>
        <v/>
      </c>
      <c r="J172" s="19" t="str">
        <f t="shared" si="18"/>
        <v/>
      </c>
      <c r="K172" s="19" t="str">
        <f t="shared" si="19"/>
        <v/>
      </c>
      <c r="L172" s="19" t="str">
        <f t="shared" si="20"/>
        <v/>
      </c>
      <c r="M172" s="19" t="str">
        <f t="shared" si="21"/>
        <v/>
      </c>
      <c r="N172" s="20" t="str">
        <f t="shared" si="22"/>
        <v/>
      </c>
      <c r="O172" t="str">
        <f t="shared" si="23"/>
        <v/>
      </c>
    </row>
    <row r="173" spans="8:15" x14ac:dyDescent="0.3">
      <c r="H173" s="19" t="str">
        <f t="shared" si="16"/>
        <v/>
      </c>
      <c r="I173" s="19" t="str">
        <f t="shared" si="17"/>
        <v/>
      </c>
      <c r="J173" s="19" t="str">
        <f t="shared" si="18"/>
        <v/>
      </c>
      <c r="K173" s="19" t="str">
        <f t="shared" si="19"/>
        <v/>
      </c>
      <c r="L173" s="19" t="str">
        <f t="shared" si="20"/>
        <v/>
      </c>
      <c r="M173" s="19" t="str">
        <f t="shared" si="21"/>
        <v/>
      </c>
      <c r="N173" s="20" t="str">
        <f t="shared" si="22"/>
        <v/>
      </c>
      <c r="O173" t="str">
        <f t="shared" si="23"/>
        <v/>
      </c>
    </row>
    <row r="174" spans="8:15" x14ac:dyDescent="0.3">
      <c r="H174" s="19" t="str">
        <f t="shared" si="16"/>
        <v/>
      </c>
      <c r="I174" s="19" t="str">
        <f t="shared" si="17"/>
        <v/>
      </c>
      <c r="J174" s="19" t="str">
        <f t="shared" si="18"/>
        <v/>
      </c>
      <c r="K174" s="19" t="str">
        <f t="shared" si="19"/>
        <v/>
      </c>
      <c r="L174" s="19" t="str">
        <f t="shared" si="20"/>
        <v/>
      </c>
      <c r="M174" s="19" t="str">
        <f t="shared" si="21"/>
        <v/>
      </c>
      <c r="N174" s="20" t="str">
        <f t="shared" si="22"/>
        <v/>
      </c>
      <c r="O174" t="str">
        <f t="shared" si="23"/>
        <v/>
      </c>
    </row>
    <row r="175" spans="8:15" x14ac:dyDescent="0.3">
      <c r="H175" s="19" t="str">
        <f t="shared" si="16"/>
        <v/>
      </c>
      <c r="I175" s="19" t="str">
        <f t="shared" si="17"/>
        <v/>
      </c>
      <c r="J175" s="19" t="str">
        <f t="shared" si="18"/>
        <v/>
      </c>
      <c r="K175" s="19" t="str">
        <f t="shared" si="19"/>
        <v/>
      </c>
      <c r="L175" s="19" t="str">
        <f t="shared" si="20"/>
        <v/>
      </c>
      <c r="M175" s="19" t="str">
        <f t="shared" si="21"/>
        <v/>
      </c>
      <c r="N175" s="20" t="str">
        <f t="shared" si="22"/>
        <v/>
      </c>
      <c r="O175" t="str">
        <f t="shared" si="23"/>
        <v/>
      </c>
    </row>
    <row r="176" spans="8:15" x14ac:dyDescent="0.3">
      <c r="H176" s="19" t="str">
        <f t="shared" si="16"/>
        <v/>
      </c>
      <c r="I176" s="19" t="str">
        <f t="shared" si="17"/>
        <v/>
      </c>
      <c r="J176" s="19" t="str">
        <f t="shared" si="18"/>
        <v/>
      </c>
      <c r="K176" s="19" t="str">
        <f t="shared" si="19"/>
        <v/>
      </c>
      <c r="L176" s="19" t="str">
        <f t="shared" si="20"/>
        <v/>
      </c>
      <c r="M176" s="19" t="str">
        <f t="shared" si="21"/>
        <v/>
      </c>
      <c r="N176" s="20" t="str">
        <f t="shared" si="22"/>
        <v/>
      </c>
      <c r="O176" t="str">
        <f t="shared" si="23"/>
        <v/>
      </c>
    </row>
    <row r="177" spans="8:15" x14ac:dyDescent="0.3">
      <c r="H177" s="19" t="str">
        <f t="shared" si="16"/>
        <v/>
      </c>
      <c r="I177" s="19" t="str">
        <f t="shared" si="17"/>
        <v/>
      </c>
      <c r="J177" s="19" t="str">
        <f t="shared" si="18"/>
        <v/>
      </c>
      <c r="K177" s="19" t="str">
        <f t="shared" si="19"/>
        <v/>
      </c>
      <c r="L177" s="19" t="str">
        <f t="shared" si="20"/>
        <v/>
      </c>
      <c r="M177" s="19" t="str">
        <f t="shared" si="21"/>
        <v/>
      </c>
      <c r="N177" s="20" t="str">
        <f t="shared" si="22"/>
        <v/>
      </c>
      <c r="O177" t="str">
        <f t="shared" si="23"/>
        <v/>
      </c>
    </row>
    <row r="178" spans="8:15" x14ac:dyDescent="0.3">
      <c r="H178" s="19" t="str">
        <f t="shared" si="16"/>
        <v/>
      </c>
      <c r="I178" s="19" t="str">
        <f t="shared" si="17"/>
        <v/>
      </c>
      <c r="J178" s="19" t="str">
        <f t="shared" si="18"/>
        <v/>
      </c>
      <c r="K178" s="19" t="str">
        <f t="shared" si="19"/>
        <v/>
      </c>
      <c r="L178" s="19" t="str">
        <f t="shared" si="20"/>
        <v/>
      </c>
      <c r="M178" s="19" t="str">
        <f t="shared" si="21"/>
        <v/>
      </c>
      <c r="N178" s="20" t="str">
        <f t="shared" si="22"/>
        <v/>
      </c>
      <c r="O178" t="str">
        <f t="shared" si="23"/>
        <v/>
      </c>
    </row>
    <row r="179" spans="8:15" x14ac:dyDescent="0.3">
      <c r="H179" s="19" t="str">
        <f t="shared" si="16"/>
        <v/>
      </c>
      <c r="I179" s="19" t="str">
        <f t="shared" si="17"/>
        <v/>
      </c>
      <c r="J179" s="19" t="str">
        <f t="shared" si="18"/>
        <v/>
      </c>
      <c r="K179" s="19" t="str">
        <f t="shared" si="19"/>
        <v/>
      </c>
      <c r="L179" s="19" t="str">
        <f t="shared" si="20"/>
        <v/>
      </c>
      <c r="M179" s="19" t="str">
        <f t="shared" si="21"/>
        <v/>
      </c>
      <c r="N179" s="20" t="str">
        <f t="shared" si="22"/>
        <v/>
      </c>
      <c r="O179" t="str">
        <f t="shared" si="23"/>
        <v/>
      </c>
    </row>
    <row r="180" spans="8:15" x14ac:dyDescent="0.3">
      <c r="H180" s="19" t="str">
        <f t="shared" si="16"/>
        <v/>
      </c>
      <c r="I180" s="19" t="str">
        <f t="shared" si="17"/>
        <v/>
      </c>
      <c r="J180" s="19" t="str">
        <f t="shared" si="18"/>
        <v/>
      </c>
      <c r="K180" s="19" t="str">
        <f t="shared" si="19"/>
        <v/>
      </c>
      <c r="L180" s="19" t="str">
        <f t="shared" si="20"/>
        <v/>
      </c>
      <c r="M180" s="19" t="str">
        <f t="shared" si="21"/>
        <v/>
      </c>
      <c r="N180" s="20" t="str">
        <f t="shared" si="22"/>
        <v/>
      </c>
      <c r="O180" t="str">
        <f t="shared" si="23"/>
        <v/>
      </c>
    </row>
    <row r="181" spans="8:15" x14ac:dyDescent="0.3">
      <c r="H181" s="19" t="str">
        <f t="shared" si="16"/>
        <v/>
      </c>
      <c r="I181" s="19" t="str">
        <f t="shared" si="17"/>
        <v/>
      </c>
      <c r="J181" s="19" t="str">
        <f t="shared" si="18"/>
        <v/>
      </c>
      <c r="K181" s="19" t="str">
        <f t="shared" si="19"/>
        <v/>
      </c>
      <c r="L181" s="19" t="str">
        <f t="shared" si="20"/>
        <v/>
      </c>
      <c r="M181" s="19" t="str">
        <f t="shared" si="21"/>
        <v/>
      </c>
      <c r="N181" s="20" t="str">
        <f t="shared" si="22"/>
        <v/>
      </c>
      <c r="O181" t="str">
        <f t="shared" si="23"/>
        <v/>
      </c>
    </row>
    <row r="182" spans="8:15" x14ac:dyDescent="0.3">
      <c r="H182" s="19" t="str">
        <f t="shared" si="16"/>
        <v/>
      </c>
      <c r="I182" s="19" t="str">
        <f t="shared" si="17"/>
        <v/>
      </c>
      <c r="J182" s="19" t="str">
        <f t="shared" si="18"/>
        <v/>
      </c>
      <c r="K182" s="19" t="str">
        <f t="shared" si="19"/>
        <v/>
      </c>
      <c r="L182" s="19" t="str">
        <f t="shared" si="20"/>
        <v/>
      </c>
      <c r="M182" s="19" t="str">
        <f t="shared" si="21"/>
        <v/>
      </c>
      <c r="N182" s="20" t="str">
        <f t="shared" si="22"/>
        <v/>
      </c>
      <c r="O182" t="str">
        <f t="shared" si="23"/>
        <v/>
      </c>
    </row>
    <row r="183" spans="8:15" x14ac:dyDescent="0.3">
      <c r="H183" s="19" t="str">
        <f t="shared" si="16"/>
        <v/>
      </c>
      <c r="I183" s="19" t="str">
        <f t="shared" si="17"/>
        <v/>
      </c>
      <c r="J183" s="19" t="str">
        <f t="shared" si="18"/>
        <v/>
      </c>
      <c r="K183" s="19" t="str">
        <f t="shared" si="19"/>
        <v/>
      </c>
      <c r="L183" s="19" t="str">
        <f t="shared" si="20"/>
        <v/>
      </c>
      <c r="M183" s="19" t="str">
        <f t="shared" si="21"/>
        <v/>
      </c>
      <c r="N183" s="20" t="str">
        <f t="shared" si="22"/>
        <v/>
      </c>
      <c r="O183" t="str">
        <f t="shared" si="23"/>
        <v/>
      </c>
    </row>
    <row r="184" spans="8:15" x14ac:dyDescent="0.3">
      <c r="H184" s="19" t="str">
        <f t="shared" si="16"/>
        <v/>
      </c>
      <c r="I184" s="19" t="str">
        <f t="shared" si="17"/>
        <v/>
      </c>
      <c r="J184" s="19" t="str">
        <f t="shared" si="18"/>
        <v/>
      </c>
      <c r="K184" s="19" t="str">
        <f t="shared" si="19"/>
        <v/>
      </c>
      <c r="L184" s="19" t="str">
        <f t="shared" si="20"/>
        <v/>
      </c>
      <c r="M184" s="19" t="str">
        <f t="shared" si="21"/>
        <v/>
      </c>
      <c r="N184" s="20" t="str">
        <f t="shared" si="22"/>
        <v/>
      </c>
      <c r="O184" t="str">
        <f t="shared" si="23"/>
        <v/>
      </c>
    </row>
    <row r="185" spans="8:15" x14ac:dyDescent="0.3">
      <c r="H185" s="19" t="str">
        <f t="shared" si="16"/>
        <v/>
      </c>
      <c r="I185" s="19" t="str">
        <f t="shared" si="17"/>
        <v/>
      </c>
      <c r="J185" s="19" t="str">
        <f t="shared" si="18"/>
        <v/>
      </c>
      <c r="K185" s="19" t="str">
        <f t="shared" si="19"/>
        <v/>
      </c>
      <c r="L185" s="19" t="str">
        <f t="shared" si="20"/>
        <v/>
      </c>
      <c r="M185" s="19" t="str">
        <f t="shared" si="21"/>
        <v/>
      </c>
      <c r="N185" s="20" t="str">
        <f t="shared" si="22"/>
        <v/>
      </c>
      <c r="O185" t="str">
        <f t="shared" si="23"/>
        <v/>
      </c>
    </row>
    <row r="186" spans="8:15" x14ac:dyDescent="0.3">
      <c r="H186" s="19" t="str">
        <f t="shared" si="16"/>
        <v/>
      </c>
      <c r="I186" s="19" t="str">
        <f t="shared" si="17"/>
        <v/>
      </c>
      <c r="J186" s="19" t="str">
        <f t="shared" si="18"/>
        <v/>
      </c>
      <c r="K186" s="19" t="str">
        <f t="shared" si="19"/>
        <v/>
      </c>
      <c r="L186" s="19" t="str">
        <f t="shared" si="20"/>
        <v/>
      </c>
      <c r="M186" s="19" t="str">
        <f t="shared" si="21"/>
        <v/>
      </c>
      <c r="N186" s="20" t="str">
        <f t="shared" si="22"/>
        <v/>
      </c>
      <c r="O186" t="str">
        <f t="shared" si="23"/>
        <v/>
      </c>
    </row>
    <row r="187" spans="8:15" x14ac:dyDescent="0.3">
      <c r="H187" s="19" t="str">
        <f t="shared" si="16"/>
        <v/>
      </c>
      <c r="I187" s="19" t="str">
        <f t="shared" si="17"/>
        <v/>
      </c>
      <c r="J187" s="19" t="str">
        <f t="shared" si="18"/>
        <v/>
      </c>
      <c r="K187" s="19" t="str">
        <f t="shared" si="19"/>
        <v/>
      </c>
      <c r="L187" s="19" t="str">
        <f t="shared" si="20"/>
        <v/>
      </c>
      <c r="M187" s="19" t="str">
        <f t="shared" si="21"/>
        <v/>
      </c>
      <c r="N187" s="20" t="str">
        <f t="shared" si="22"/>
        <v/>
      </c>
      <c r="O187" t="str">
        <f t="shared" si="23"/>
        <v/>
      </c>
    </row>
    <row r="188" spans="8:15" x14ac:dyDescent="0.3">
      <c r="H188" s="19" t="str">
        <f t="shared" si="16"/>
        <v/>
      </c>
      <c r="I188" s="19" t="str">
        <f t="shared" si="17"/>
        <v/>
      </c>
      <c r="J188" s="19" t="str">
        <f t="shared" si="18"/>
        <v/>
      </c>
      <c r="K188" s="19" t="str">
        <f t="shared" si="19"/>
        <v/>
      </c>
      <c r="L188" s="19" t="str">
        <f t="shared" si="20"/>
        <v/>
      </c>
      <c r="M188" s="19" t="str">
        <f t="shared" si="21"/>
        <v/>
      </c>
      <c r="N188" s="20" t="str">
        <f t="shared" si="22"/>
        <v/>
      </c>
      <c r="O188" t="str">
        <f t="shared" si="23"/>
        <v/>
      </c>
    </row>
    <row r="189" spans="8:15" x14ac:dyDescent="0.3">
      <c r="H189" s="19" t="str">
        <f t="shared" si="16"/>
        <v/>
      </c>
      <c r="I189" s="19" t="str">
        <f t="shared" si="17"/>
        <v/>
      </c>
      <c r="J189" s="19" t="str">
        <f t="shared" si="18"/>
        <v/>
      </c>
      <c r="K189" s="19" t="str">
        <f t="shared" si="19"/>
        <v/>
      </c>
      <c r="L189" s="19" t="str">
        <f t="shared" si="20"/>
        <v/>
      </c>
      <c r="M189" s="19" t="str">
        <f t="shared" si="21"/>
        <v/>
      </c>
      <c r="N189" s="20" t="str">
        <f t="shared" si="22"/>
        <v/>
      </c>
      <c r="O189" t="str">
        <f t="shared" si="23"/>
        <v/>
      </c>
    </row>
    <row r="190" spans="8:15" x14ac:dyDescent="0.3">
      <c r="H190" s="19" t="str">
        <f t="shared" si="16"/>
        <v/>
      </c>
      <c r="I190" s="19" t="str">
        <f t="shared" si="17"/>
        <v/>
      </c>
      <c r="J190" s="19" t="str">
        <f t="shared" si="18"/>
        <v/>
      </c>
      <c r="K190" s="19" t="str">
        <f t="shared" si="19"/>
        <v/>
      </c>
      <c r="L190" s="19" t="str">
        <f t="shared" si="20"/>
        <v/>
      </c>
      <c r="M190" s="19" t="str">
        <f t="shared" si="21"/>
        <v/>
      </c>
      <c r="N190" s="20" t="str">
        <f t="shared" si="22"/>
        <v/>
      </c>
      <c r="O190" t="str">
        <f t="shared" si="23"/>
        <v/>
      </c>
    </row>
    <row r="191" spans="8:15" x14ac:dyDescent="0.3">
      <c r="H191" s="19" t="str">
        <f t="shared" si="16"/>
        <v/>
      </c>
      <c r="I191" s="19" t="str">
        <f t="shared" si="17"/>
        <v/>
      </c>
      <c r="J191" s="19" t="str">
        <f t="shared" si="18"/>
        <v/>
      </c>
      <c r="K191" s="19" t="str">
        <f t="shared" si="19"/>
        <v/>
      </c>
      <c r="L191" s="19" t="str">
        <f t="shared" si="20"/>
        <v/>
      </c>
      <c r="M191" s="19" t="str">
        <f t="shared" si="21"/>
        <v/>
      </c>
      <c r="N191" s="20" t="str">
        <f t="shared" si="22"/>
        <v/>
      </c>
      <c r="O191" t="str">
        <f t="shared" si="23"/>
        <v/>
      </c>
    </row>
    <row r="192" spans="8:15" x14ac:dyDescent="0.3">
      <c r="H192" s="19" t="str">
        <f t="shared" si="16"/>
        <v/>
      </c>
      <c r="I192" s="19" t="str">
        <f t="shared" si="17"/>
        <v/>
      </c>
      <c r="J192" s="19" t="str">
        <f t="shared" si="18"/>
        <v/>
      </c>
      <c r="K192" s="19" t="str">
        <f t="shared" si="19"/>
        <v/>
      </c>
      <c r="L192" s="19" t="str">
        <f t="shared" si="20"/>
        <v/>
      </c>
      <c r="M192" s="19" t="str">
        <f t="shared" si="21"/>
        <v/>
      </c>
      <c r="N192" s="20" t="str">
        <f t="shared" si="22"/>
        <v/>
      </c>
      <c r="O192" t="str">
        <f t="shared" si="23"/>
        <v/>
      </c>
    </row>
    <row r="193" spans="8:15" x14ac:dyDescent="0.3">
      <c r="H193" s="19" t="str">
        <f t="shared" si="16"/>
        <v/>
      </c>
      <c r="I193" s="19" t="str">
        <f t="shared" si="17"/>
        <v/>
      </c>
      <c r="J193" s="19" t="str">
        <f t="shared" si="18"/>
        <v/>
      </c>
      <c r="K193" s="19" t="str">
        <f t="shared" si="19"/>
        <v/>
      </c>
      <c r="L193" s="19" t="str">
        <f t="shared" si="20"/>
        <v/>
      </c>
      <c r="M193" s="19" t="str">
        <f t="shared" si="21"/>
        <v/>
      </c>
      <c r="N193" s="20" t="str">
        <f t="shared" si="22"/>
        <v/>
      </c>
      <c r="O193" t="str">
        <f t="shared" si="23"/>
        <v/>
      </c>
    </row>
    <row r="194" spans="8:15" x14ac:dyDescent="0.3">
      <c r="H194" s="19" t="str">
        <f t="shared" si="16"/>
        <v/>
      </c>
      <c r="I194" s="19" t="str">
        <f t="shared" si="17"/>
        <v/>
      </c>
      <c r="J194" s="19" t="str">
        <f t="shared" si="18"/>
        <v/>
      </c>
      <c r="K194" s="19" t="str">
        <f t="shared" si="19"/>
        <v/>
      </c>
      <c r="L194" s="19" t="str">
        <f t="shared" si="20"/>
        <v/>
      </c>
      <c r="M194" s="19" t="str">
        <f t="shared" si="21"/>
        <v/>
      </c>
      <c r="N194" s="20" t="str">
        <f t="shared" si="22"/>
        <v/>
      </c>
      <c r="O194" t="str">
        <f t="shared" si="23"/>
        <v/>
      </c>
    </row>
    <row r="195" spans="8:15" x14ac:dyDescent="0.3">
      <c r="H195" s="19" t="str">
        <f t="shared" ref="H195:H258" si="24">IF(AND(B195&lt;&gt;"",D195&lt;&gt;""),D195/1.6021766341/B195,"")</f>
        <v/>
      </c>
      <c r="I195" s="19" t="str">
        <f t="shared" ref="I195:I258" si="25">IF(AND(B195&lt;&gt;"",D195&lt;&gt;"",C195&lt;&gt;""),D195*C195^2*0.000001,"")</f>
        <v/>
      </c>
      <c r="J195" s="19" t="str">
        <f t="shared" ref="J195:J258" si="26">IF(AND(A195&lt;&gt;"",B195&lt;&gt;"",C195&lt;&gt;""),(B195/2.509412225*(EXP(C195/86.17333262-2)-1.075*EXP(-2)))^(2/3)*300/A195,"")</f>
        <v/>
      </c>
      <c r="K195" s="19" t="str">
        <f t="shared" ref="K195:K258" si="27">IF(J195&lt;&gt;"",H195*(1+(J195*A195/300)^(-3/2)*B195/(2*2.509412225))^(1/3),"")</f>
        <v/>
      </c>
      <c r="L195" s="19" t="str">
        <f t="shared" ref="L195:L258" si="28">IF(AND(A195&lt;&gt;"",M195&lt;&gt;""),M195*(300/A195)^(3/2),"")</f>
        <v/>
      </c>
      <c r="M195" s="19" t="str">
        <f t="shared" ref="M195:M258" si="29">IF(AND(C195&lt;&gt;"",D195&lt;&gt;""),D195/4.02052163221989*(EXP(C195/86.17333262-2)-1.075*EXP(-2))*(1+0.5/(EXP(C195/86.17333262-2)-1.075*EXP(-2)))^(1/3),"")</f>
        <v/>
      </c>
      <c r="N195" s="20" t="str">
        <f t="shared" ref="N195:N258" si="30">IF(M195&lt;&gt;"",0.12122458*M195,"")</f>
        <v/>
      </c>
      <c r="O195" t="str">
        <f t="shared" ref="O195:O258" si="31">IF(AND(B195&lt;&gt;"",C195&lt;&gt;""),1.255*B195*(EXP(C195/86.17333262-2)-1.075*EXP(-2)),"")</f>
        <v/>
      </c>
    </row>
    <row r="196" spans="8:15" x14ac:dyDescent="0.3">
      <c r="H196" s="19" t="str">
        <f t="shared" si="24"/>
        <v/>
      </c>
      <c r="I196" s="19" t="str">
        <f t="shared" si="25"/>
        <v/>
      </c>
      <c r="J196" s="19" t="str">
        <f t="shared" si="26"/>
        <v/>
      </c>
      <c r="K196" s="19" t="str">
        <f t="shared" si="27"/>
        <v/>
      </c>
      <c r="L196" s="19" t="str">
        <f t="shared" si="28"/>
        <v/>
      </c>
      <c r="M196" s="19" t="str">
        <f t="shared" si="29"/>
        <v/>
      </c>
      <c r="N196" s="20" t="str">
        <f t="shared" si="30"/>
        <v/>
      </c>
      <c r="O196" t="str">
        <f t="shared" si="31"/>
        <v/>
      </c>
    </row>
    <row r="197" spans="8:15" x14ac:dyDescent="0.3">
      <c r="H197" s="19" t="str">
        <f t="shared" si="24"/>
        <v/>
      </c>
      <c r="I197" s="19" t="str">
        <f t="shared" si="25"/>
        <v/>
      </c>
      <c r="J197" s="19" t="str">
        <f t="shared" si="26"/>
        <v/>
      </c>
      <c r="K197" s="19" t="str">
        <f t="shared" si="27"/>
        <v/>
      </c>
      <c r="L197" s="19" t="str">
        <f t="shared" si="28"/>
        <v/>
      </c>
      <c r="M197" s="19" t="str">
        <f t="shared" si="29"/>
        <v/>
      </c>
      <c r="N197" s="20" t="str">
        <f t="shared" si="30"/>
        <v/>
      </c>
      <c r="O197" t="str">
        <f t="shared" si="31"/>
        <v/>
      </c>
    </row>
    <row r="198" spans="8:15" x14ac:dyDescent="0.3">
      <c r="H198" s="19" t="str">
        <f t="shared" si="24"/>
        <v/>
      </c>
      <c r="I198" s="19" t="str">
        <f t="shared" si="25"/>
        <v/>
      </c>
      <c r="J198" s="19" t="str">
        <f t="shared" si="26"/>
        <v/>
      </c>
      <c r="K198" s="19" t="str">
        <f t="shared" si="27"/>
        <v/>
      </c>
      <c r="L198" s="19" t="str">
        <f t="shared" si="28"/>
        <v/>
      </c>
      <c r="M198" s="19" t="str">
        <f t="shared" si="29"/>
        <v/>
      </c>
      <c r="N198" s="20" t="str">
        <f t="shared" si="30"/>
        <v/>
      </c>
      <c r="O198" t="str">
        <f t="shared" si="31"/>
        <v/>
      </c>
    </row>
    <row r="199" spans="8:15" x14ac:dyDescent="0.3">
      <c r="H199" s="19" t="str">
        <f t="shared" si="24"/>
        <v/>
      </c>
      <c r="I199" s="19" t="str">
        <f t="shared" si="25"/>
        <v/>
      </c>
      <c r="J199" s="19" t="str">
        <f t="shared" si="26"/>
        <v/>
      </c>
      <c r="K199" s="19" t="str">
        <f t="shared" si="27"/>
        <v/>
      </c>
      <c r="L199" s="19" t="str">
        <f t="shared" si="28"/>
        <v/>
      </c>
      <c r="M199" s="19" t="str">
        <f t="shared" si="29"/>
        <v/>
      </c>
      <c r="N199" s="20" t="str">
        <f t="shared" si="30"/>
        <v/>
      </c>
      <c r="O199" t="str">
        <f t="shared" si="31"/>
        <v/>
      </c>
    </row>
    <row r="200" spans="8:15" x14ac:dyDescent="0.3">
      <c r="H200" s="19" t="str">
        <f t="shared" si="24"/>
        <v/>
      </c>
      <c r="I200" s="19" t="str">
        <f t="shared" si="25"/>
        <v/>
      </c>
      <c r="J200" s="19" t="str">
        <f t="shared" si="26"/>
        <v/>
      </c>
      <c r="K200" s="19" t="str">
        <f t="shared" si="27"/>
        <v/>
      </c>
      <c r="L200" s="19" t="str">
        <f t="shared" si="28"/>
        <v/>
      </c>
      <c r="M200" s="19" t="str">
        <f t="shared" si="29"/>
        <v/>
      </c>
      <c r="N200" s="20" t="str">
        <f t="shared" si="30"/>
        <v/>
      </c>
      <c r="O200" t="str">
        <f t="shared" si="31"/>
        <v/>
      </c>
    </row>
    <row r="201" spans="8:15" x14ac:dyDescent="0.3">
      <c r="H201" s="19" t="str">
        <f t="shared" si="24"/>
        <v/>
      </c>
      <c r="I201" s="19" t="str">
        <f t="shared" si="25"/>
        <v/>
      </c>
      <c r="J201" s="19" t="str">
        <f t="shared" si="26"/>
        <v/>
      </c>
      <c r="K201" s="19" t="str">
        <f t="shared" si="27"/>
        <v/>
      </c>
      <c r="L201" s="19" t="str">
        <f t="shared" si="28"/>
        <v/>
      </c>
      <c r="M201" s="19" t="str">
        <f t="shared" si="29"/>
        <v/>
      </c>
      <c r="N201" s="20" t="str">
        <f t="shared" si="30"/>
        <v/>
      </c>
      <c r="O201" t="str">
        <f t="shared" si="31"/>
        <v/>
      </c>
    </row>
    <row r="202" spans="8:15" x14ac:dyDescent="0.3">
      <c r="H202" s="19" t="str">
        <f t="shared" si="24"/>
        <v/>
      </c>
      <c r="I202" s="19" t="str">
        <f t="shared" si="25"/>
        <v/>
      </c>
      <c r="J202" s="19" t="str">
        <f t="shared" si="26"/>
        <v/>
      </c>
      <c r="K202" s="19" t="str">
        <f t="shared" si="27"/>
        <v/>
      </c>
      <c r="L202" s="19" t="str">
        <f t="shared" si="28"/>
        <v/>
      </c>
      <c r="M202" s="19" t="str">
        <f t="shared" si="29"/>
        <v/>
      </c>
      <c r="N202" s="20" t="str">
        <f t="shared" si="30"/>
        <v/>
      </c>
      <c r="O202" t="str">
        <f t="shared" si="31"/>
        <v/>
      </c>
    </row>
    <row r="203" spans="8:15" x14ac:dyDescent="0.3">
      <c r="H203" s="19" t="str">
        <f t="shared" si="24"/>
        <v/>
      </c>
      <c r="I203" s="19" t="str">
        <f t="shared" si="25"/>
        <v/>
      </c>
      <c r="J203" s="19" t="str">
        <f t="shared" si="26"/>
        <v/>
      </c>
      <c r="K203" s="19" t="str">
        <f t="shared" si="27"/>
        <v/>
      </c>
      <c r="L203" s="19" t="str">
        <f t="shared" si="28"/>
        <v/>
      </c>
      <c r="M203" s="19" t="str">
        <f t="shared" si="29"/>
        <v/>
      </c>
      <c r="N203" s="20" t="str">
        <f t="shared" si="30"/>
        <v/>
      </c>
      <c r="O203" t="str">
        <f t="shared" si="31"/>
        <v/>
      </c>
    </row>
    <row r="204" spans="8:15" x14ac:dyDescent="0.3">
      <c r="H204" s="19" t="str">
        <f t="shared" si="24"/>
        <v/>
      </c>
      <c r="I204" s="19" t="str">
        <f t="shared" si="25"/>
        <v/>
      </c>
      <c r="J204" s="19" t="str">
        <f t="shared" si="26"/>
        <v/>
      </c>
      <c r="K204" s="19" t="str">
        <f t="shared" si="27"/>
        <v/>
      </c>
      <c r="L204" s="19" t="str">
        <f t="shared" si="28"/>
        <v/>
      </c>
      <c r="M204" s="19" t="str">
        <f t="shared" si="29"/>
        <v/>
      </c>
      <c r="N204" s="20" t="str">
        <f t="shared" si="30"/>
        <v/>
      </c>
      <c r="O204" t="str">
        <f t="shared" si="31"/>
        <v/>
      </c>
    </row>
    <row r="205" spans="8:15" x14ac:dyDescent="0.3">
      <c r="H205" s="19" t="str">
        <f t="shared" si="24"/>
        <v/>
      </c>
      <c r="I205" s="19" t="str">
        <f t="shared" si="25"/>
        <v/>
      </c>
      <c r="J205" s="19" t="str">
        <f t="shared" si="26"/>
        <v/>
      </c>
      <c r="K205" s="19" t="str">
        <f t="shared" si="27"/>
        <v/>
      </c>
      <c r="L205" s="19" t="str">
        <f t="shared" si="28"/>
        <v/>
      </c>
      <c r="M205" s="19" t="str">
        <f t="shared" si="29"/>
        <v/>
      </c>
      <c r="N205" s="20" t="str">
        <f t="shared" si="30"/>
        <v/>
      </c>
      <c r="O205" t="str">
        <f t="shared" si="31"/>
        <v/>
      </c>
    </row>
    <row r="206" spans="8:15" x14ac:dyDescent="0.3">
      <c r="H206" s="19" t="str">
        <f t="shared" si="24"/>
        <v/>
      </c>
      <c r="I206" s="19" t="str">
        <f t="shared" si="25"/>
        <v/>
      </c>
      <c r="J206" s="19" t="str">
        <f t="shared" si="26"/>
        <v/>
      </c>
      <c r="K206" s="19" t="str">
        <f t="shared" si="27"/>
        <v/>
      </c>
      <c r="L206" s="19" t="str">
        <f t="shared" si="28"/>
        <v/>
      </c>
      <c r="M206" s="19" t="str">
        <f t="shared" si="29"/>
        <v/>
      </c>
      <c r="N206" s="20" t="str">
        <f t="shared" si="30"/>
        <v/>
      </c>
      <c r="O206" t="str">
        <f t="shared" si="31"/>
        <v/>
      </c>
    </row>
    <row r="207" spans="8:15" x14ac:dyDescent="0.3">
      <c r="H207" s="19" t="str">
        <f t="shared" si="24"/>
        <v/>
      </c>
      <c r="I207" s="19" t="str">
        <f t="shared" si="25"/>
        <v/>
      </c>
      <c r="J207" s="19" t="str">
        <f t="shared" si="26"/>
        <v/>
      </c>
      <c r="K207" s="19" t="str">
        <f t="shared" si="27"/>
        <v/>
      </c>
      <c r="L207" s="19" t="str">
        <f t="shared" si="28"/>
        <v/>
      </c>
      <c r="M207" s="19" t="str">
        <f t="shared" si="29"/>
        <v/>
      </c>
      <c r="N207" s="20" t="str">
        <f t="shared" si="30"/>
        <v/>
      </c>
      <c r="O207" t="str">
        <f t="shared" si="31"/>
        <v/>
      </c>
    </row>
    <row r="208" spans="8:15" x14ac:dyDescent="0.3">
      <c r="H208" s="19" t="str">
        <f t="shared" si="24"/>
        <v/>
      </c>
      <c r="I208" s="19" t="str">
        <f t="shared" si="25"/>
        <v/>
      </c>
      <c r="J208" s="19" t="str">
        <f t="shared" si="26"/>
        <v/>
      </c>
      <c r="K208" s="19" t="str">
        <f t="shared" si="27"/>
        <v/>
      </c>
      <c r="L208" s="19" t="str">
        <f t="shared" si="28"/>
        <v/>
      </c>
      <c r="M208" s="19" t="str">
        <f t="shared" si="29"/>
        <v/>
      </c>
      <c r="N208" s="20" t="str">
        <f t="shared" si="30"/>
        <v/>
      </c>
      <c r="O208" t="str">
        <f t="shared" si="31"/>
        <v/>
      </c>
    </row>
    <row r="209" spans="8:15" x14ac:dyDescent="0.3">
      <c r="H209" s="19" t="str">
        <f t="shared" si="24"/>
        <v/>
      </c>
      <c r="I209" s="19" t="str">
        <f t="shared" si="25"/>
        <v/>
      </c>
      <c r="J209" s="19" t="str">
        <f t="shared" si="26"/>
        <v/>
      </c>
      <c r="K209" s="19" t="str">
        <f t="shared" si="27"/>
        <v/>
      </c>
      <c r="L209" s="19" t="str">
        <f t="shared" si="28"/>
        <v/>
      </c>
      <c r="M209" s="19" t="str">
        <f t="shared" si="29"/>
        <v/>
      </c>
      <c r="N209" s="20" t="str">
        <f t="shared" si="30"/>
        <v/>
      </c>
      <c r="O209" t="str">
        <f t="shared" si="31"/>
        <v/>
      </c>
    </row>
    <row r="210" spans="8:15" x14ac:dyDescent="0.3">
      <c r="H210" s="19" t="str">
        <f t="shared" si="24"/>
        <v/>
      </c>
      <c r="I210" s="19" t="str">
        <f t="shared" si="25"/>
        <v/>
      </c>
      <c r="J210" s="19" t="str">
        <f t="shared" si="26"/>
        <v/>
      </c>
      <c r="K210" s="19" t="str">
        <f t="shared" si="27"/>
        <v/>
      </c>
      <c r="L210" s="19" t="str">
        <f t="shared" si="28"/>
        <v/>
      </c>
      <c r="M210" s="19" t="str">
        <f t="shared" si="29"/>
        <v/>
      </c>
      <c r="N210" s="20" t="str">
        <f t="shared" si="30"/>
        <v/>
      </c>
      <c r="O210" t="str">
        <f t="shared" si="31"/>
        <v/>
      </c>
    </row>
    <row r="211" spans="8:15" x14ac:dyDescent="0.3">
      <c r="H211" s="19" t="str">
        <f t="shared" si="24"/>
        <v/>
      </c>
      <c r="I211" s="19" t="str">
        <f t="shared" si="25"/>
        <v/>
      </c>
      <c r="J211" s="19" t="str">
        <f t="shared" si="26"/>
        <v/>
      </c>
      <c r="K211" s="19" t="str">
        <f t="shared" si="27"/>
        <v/>
      </c>
      <c r="L211" s="19" t="str">
        <f t="shared" si="28"/>
        <v/>
      </c>
      <c r="M211" s="19" t="str">
        <f t="shared" si="29"/>
        <v/>
      </c>
      <c r="N211" s="20" t="str">
        <f t="shared" si="30"/>
        <v/>
      </c>
      <c r="O211" t="str">
        <f t="shared" si="31"/>
        <v/>
      </c>
    </row>
    <row r="212" spans="8:15" x14ac:dyDescent="0.3">
      <c r="H212" s="19" t="str">
        <f t="shared" si="24"/>
        <v/>
      </c>
      <c r="I212" s="19" t="str">
        <f t="shared" si="25"/>
        <v/>
      </c>
      <c r="J212" s="19" t="str">
        <f t="shared" si="26"/>
        <v/>
      </c>
      <c r="K212" s="19" t="str">
        <f t="shared" si="27"/>
        <v/>
      </c>
      <c r="L212" s="19" t="str">
        <f t="shared" si="28"/>
        <v/>
      </c>
      <c r="M212" s="19" t="str">
        <f t="shared" si="29"/>
        <v/>
      </c>
      <c r="N212" s="20" t="str">
        <f t="shared" si="30"/>
        <v/>
      </c>
      <c r="O212" t="str">
        <f t="shared" si="31"/>
        <v/>
      </c>
    </row>
    <row r="213" spans="8:15" x14ac:dyDescent="0.3">
      <c r="H213" s="19" t="str">
        <f t="shared" si="24"/>
        <v/>
      </c>
      <c r="I213" s="19" t="str">
        <f t="shared" si="25"/>
        <v/>
      </c>
      <c r="J213" s="19" t="str">
        <f t="shared" si="26"/>
        <v/>
      </c>
      <c r="K213" s="19" t="str">
        <f t="shared" si="27"/>
        <v/>
      </c>
      <c r="L213" s="19" t="str">
        <f t="shared" si="28"/>
        <v/>
      </c>
      <c r="M213" s="19" t="str">
        <f t="shared" si="29"/>
        <v/>
      </c>
      <c r="N213" s="20" t="str">
        <f t="shared" si="30"/>
        <v/>
      </c>
      <c r="O213" t="str">
        <f t="shared" si="31"/>
        <v/>
      </c>
    </row>
    <row r="214" spans="8:15" x14ac:dyDescent="0.3">
      <c r="H214" s="19" t="str">
        <f t="shared" si="24"/>
        <v/>
      </c>
      <c r="I214" s="19" t="str">
        <f t="shared" si="25"/>
        <v/>
      </c>
      <c r="J214" s="19" t="str">
        <f t="shared" si="26"/>
        <v/>
      </c>
      <c r="K214" s="19" t="str">
        <f t="shared" si="27"/>
        <v/>
      </c>
      <c r="L214" s="19" t="str">
        <f t="shared" si="28"/>
        <v/>
      </c>
      <c r="M214" s="19" t="str">
        <f t="shared" si="29"/>
        <v/>
      </c>
      <c r="N214" s="20" t="str">
        <f t="shared" si="30"/>
        <v/>
      </c>
      <c r="O214" t="str">
        <f t="shared" si="31"/>
        <v/>
      </c>
    </row>
    <row r="215" spans="8:15" x14ac:dyDescent="0.3">
      <c r="H215" s="19" t="str">
        <f t="shared" si="24"/>
        <v/>
      </c>
      <c r="I215" s="19" t="str">
        <f t="shared" si="25"/>
        <v/>
      </c>
      <c r="J215" s="19" t="str">
        <f t="shared" si="26"/>
        <v/>
      </c>
      <c r="K215" s="19" t="str">
        <f t="shared" si="27"/>
        <v/>
      </c>
      <c r="L215" s="19" t="str">
        <f t="shared" si="28"/>
        <v/>
      </c>
      <c r="M215" s="19" t="str">
        <f t="shared" si="29"/>
        <v/>
      </c>
      <c r="N215" s="20" t="str">
        <f t="shared" si="30"/>
        <v/>
      </c>
      <c r="O215" t="str">
        <f t="shared" si="31"/>
        <v/>
      </c>
    </row>
    <row r="216" spans="8:15" x14ac:dyDescent="0.3">
      <c r="H216" s="19" t="str">
        <f t="shared" si="24"/>
        <v/>
      </c>
      <c r="I216" s="19" t="str">
        <f t="shared" si="25"/>
        <v/>
      </c>
      <c r="J216" s="19" t="str">
        <f t="shared" si="26"/>
        <v/>
      </c>
      <c r="K216" s="19" t="str">
        <f t="shared" si="27"/>
        <v/>
      </c>
      <c r="L216" s="19" t="str">
        <f t="shared" si="28"/>
        <v/>
      </c>
      <c r="M216" s="19" t="str">
        <f t="shared" si="29"/>
        <v/>
      </c>
      <c r="N216" s="20" t="str">
        <f t="shared" si="30"/>
        <v/>
      </c>
      <c r="O216" t="str">
        <f t="shared" si="31"/>
        <v/>
      </c>
    </row>
    <row r="217" spans="8:15" x14ac:dyDescent="0.3">
      <c r="H217" s="19" t="str">
        <f t="shared" si="24"/>
        <v/>
      </c>
      <c r="I217" s="19" t="str">
        <f t="shared" si="25"/>
        <v/>
      </c>
      <c r="J217" s="19" t="str">
        <f t="shared" si="26"/>
        <v/>
      </c>
      <c r="K217" s="19" t="str">
        <f t="shared" si="27"/>
        <v/>
      </c>
      <c r="L217" s="19" t="str">
        <f t="shared" si="28"/>
        <v/>
      </c>
      <c r="M217" s="19" t="str">
        <f t="shared" si="29"/>
        <v/>
      </c>
      <c r="N217" s="20" t="str">
        <f t="shared" si="30"/>
        <v/>
      </c>
      <c r="O217" t="str">
        <f t="shared" si="31"/>
        <v/>
      </c>
    </row>
    <row r="218" spans="8:15" x14ac:dyDescent="0.3">
      <c r="H218" s="19" t="str">
        <f t="shared" si="24"/>
        <v/>
      </c>
      <c r="I218" s="19" t="str">
        <f t="shared" si="25"/>
        <v/>
      </c>
      <c r="J218" s="19" t="str">
        <f t="shared" si="26"/>
        <v/>
      </c>
      <c r="K218" s="19" t="str">
        <f t="shared" si="27"/>
        <v/>
      </c>
      <c r="L218" s="19" t="str">
        <f t="shared" si="28"/>
        <v/>
      </c>
      <c r="M218" s="19" t="str">
        <f t="shared" si="29"/>
        <v/>
      </c>
      <c r="N218" s="20" t="str">
        <f t="shared" si="30"/>
        <v/>
      </c>
      <c r="O218" t="str">
        <f t="shared" si="31"/>
        <v/>
      </c>
    </row>
    <row r="219" spans="8:15" x14ac:dyDescent="0.3">
      <c r="H219" s="19" t="str">
        <f t="shared" si="24"/>
        <v/>
      </c>
      <c r="I219" s="19" t="str">
        <f t="shared" si="25"/>
        <v/>
      </c>
      <c r="J219" s="19" t="str">
        <f t="shared" si="26"/>
        <v/>
      </c>
      <c r="K219" s="19" t="str">
        <f t="shared" si="27"/>
        <v/>
      </c>
      <c r="L219" s="19" t="str">
        <f t="shared" si="28"/>
        <v/>
      </c>
      <c r="M219" s="19" t="str">
        <f t="shared" si="29"/>
        <v/>
      </c>
      <c r="N219" s="20" t="str">
        <f t="shared" si="30"/>
        <v/>
      </c>
      <c r="O219" t="str">
        <f t="shared" si="31"/>
        <v/>
      </c>
    </row>
    <row r="220" spans="8:15" x14ac:dyDescent="0.3">
      <c r="H220" s="19" t="str">
        <f t="shared" si="24"/>
        <v/>
      </c>
      <c r="I220" s="19" t="str">
        <f t="shared" si="25"/>
        <v/>
      </c>
      <c r="J220" s="19" t="str">
        <f t="shared" si="26"/>
        <v/>
      </c>
      <c r="K220" s="19" t="str">
        <f t="shared" si="27"/>
        <v/>
      </c>
      <c r="L220" s="19" t="str">
        <f t="shared" si="28"/>
        <v/>
      </c>
      <c r="M220" s="19" t="str">
        <f t="shared" si="29"/>
        <v/>
      </c>
      <c r="N220" s="20" t="str">
        <f t="shared" si="30"/>
        <v/>
      </c>
      <c r="O220" t="str">
        <f t="shared" si="31"/>
        <v/>
      </c>
    </row>
    <row r="221" spans="8:15" x14ac:dyDescent="0.3">
      <c r="H221" s="19" t="str">
        <f t="shared" si="24"/>
        <v/>
      </c>
      <c r="I221" s="19" t="str">
        <f t="shared" si="25"/>
        <v/>
      </c>
      <c r="J221" s="19" t="str">
        <f t="shared" si="26"/>
        <v/>
      </c>
      <c r="K221" s="19" t="str">
        <f t="shared" si="27"/>
        <v/>
      </c>
      <c r="L221" s="19" t="str">
        <f t="shared" si="28"/>
        <v/>
      </c>
      <c r="M221" s="19" t="str">
        <f t="shared" si="29"/>
        <v/>
      </c>
      <c r="N221" s="20" t="str">
        <f t="shared" si="30"/>
        <v/>
      </c>
      <c r="O221" t="str">
        <f t="shared" si="31"/>
        <v/>
      </c>
    </row>
    <row r="222" spans="8:15" x14ac:dyDescent="0.3">
      <c r="H222" s="19" t="str">
        <f t="shared" si="24"/>
        <v/>
      </c>
      <c r="I222" s="19" t="str">
        <f t="shared" si="25"/>
        <v/>
      </c>
      <c r="J222" s="19" t="str">
        <f t="shared" si="26"/>
        <v/>
      </c>
      <c r="K222" s="19" t="str">
        <f t="shared" si="27"/>
        <v/>
      </c>
      <c r="L222" s="19" t="str">
        <f t="shared" si="28"/>
        <v/>
      </c>
      <c r="M222" s="19" t="str">
        <f t="shared" si="29"/>
        <v/>
      </c>
      <c r="N222" s="20" t="str">
        <f t="shared" si="30"/>
        <v/>
      </c>
      <c r="O222" t="str">
        <f t="shared" si="31"/>
        <v/>
      </c>
    </row>
    <row r="223" spans="8:15" x14ac:dyDescent="0.3">
      <c r="H223" s="19" t="str">
        <f t="shared" si="24"/>
        <v/>
      </c>
      <c r="I223" s="19" t="str">
        <f t="shared" si="25"/>
        <v/>
      </c>
      <c r="J223" s="19" t="str">
        <f t="shared" si="26"/>
        <v/>
      </c>
      <c r="K223" s="19" t="str">
        <f t="shared" si="27"/>
        <v/>
      </c>
      <c r="L223" s="19" t="str">
        <f t="shared" si="28"/>
        <v/>
      </c>
      <c r="M223" s="19" t="str">
        <f t="shared" si="29"/>
        <v/>
      </c>
      <c r="N223" s="20" t="str">
        <f t="shared" si="30"/>
        <v/>
      </c>
      <c r="O223" t="str">
        <f t="shared" si="31"/>
        <v/>
      </c>
    </row>
    <row r="224" spans="8:15" x14ac:dyDescent="0.3">
      <c r="H224" s="19" t="str">
        <f t="shared" si="24"/>
        <v/>
      </c>
      <c r="I224" s="19" t="str">
        <f t="shared" si="25"/>
        <v/>
      </c>
      <c r="J224" s="19" t="str">
        <f t="shared" si="26"/>
        <v/>
      </c>
      <c r="K224" s="19" t="str">
        <f t="shared" si="27"/>
        <v/>
      </c>
      <c r="L224" s="19" t="str">
        <f t="shared" si="28"/>
        <v/>
      </c>
      <c r="M224" s="19" t="str">
        <f t="shared" si="29"/>
        <v/>
      </c>
      <c r="N224" s="20" t="str">
        <f t="shared" si="30"/>
        <v/>
      </c>
      <c r="O224" t="str">
        <f t="shared" si="31"/>
        <v/>
      </c>
    </row>
    <row r="225" spans="8:15" x14ac:dyDescent="0.3">
      <c r="H225" s="19" t="str">
        <f t="shared" si="24"/>
        <v/>
      </c>
      <c r="I225" s="19" t="str">
        <f t="shared" si="25"/>
        <v/>
      </c>
      <c r="J225" s="19" t="str">
        <f t="shared" si="26"/>
        <v/>
      </c>
      <c r="K225" s="19" t="str">
        <f t="shared" si="27"/>
        <v/>
      </c>
      <c r="L225" s="19" t="str">
        <f t="shared" si="28"/>
        <v/>
      </c>
      <c r="M225" s="19" t="str">
        <f t="shared" si="29"/>
        <v/>
      </c>
      <c r="N225" s="20" t="str">
        <f t="shared" si="30"/>
        <v/>
      </c>
      <c r="O225" t="str">
        <f t="shared" si="31"/>
        <v/>
      </c>
    </row>
    <row r="226" spans="8:15" x14ac:dyDescent="0.3">
      <c r="H226" s="19" t="str">
        <f t="shared" si="24"/>
        <v/>
      </c>
      <c r="I226" s="19" t="str">
        <f t="shared" si="25"/>
        <v/>
      </c>
      <c r="J226" s="19" t="str">
        <f t="shared" si="26"/>
        <v/>
      </c>
      <c r="K226" s="19" t="str">
        <f t="shared" si="27"/>
        <v/>
      </c>
      <c r="L226" s="19" t="str">
        <f t="shared" si="28"/>
        <v/>
      </c>
      <c r="M226" s="19" t="str">
        <f t="shared" si="29"/>
        <v/>
      </c>
      <c r="N226" s="20" t="str">
        <f t="shared" si="30"/>
        <v/>
      </c>
      <c r="O226" t="str">
        <f t="shared" si="31"/>
        <v/>
      </c>
    </row>
    <row r="227" spans="8:15" x14ac:dyDescent="0.3">
      <c r="H227" s="19" t="str">
        <f t="shared" si="24"/>
        <v/>
      </c>
      <c r="I227" s="19" t="str">
        <f t="shared" si="25"/>
        <v/>
      </c>
      <c r="J227" s="19" t="str">
        <f t="shared" si="26"/>
        <v/>
      </c>
      <c r="K227" s="19" t="str">
        <f t="shared" si="27"/>
        <v/>
      </c>
      <c r="L227" s="19" t="str">
        <f t="shared" si="28"/>
        <v/>
      </c>
      <c r="M227" s="19" t="str">
        <f t="shared" si="29"/>
        <v/>
      </c>
      <c r="N227" s="20" t="str">
        <f t="shared" si="30"/>
        <v/>
      </c>
      <c r="O227" t="str">
        <f t="shared" si="31"/>
        <v/>
      </c>
    </row>
    <row r="228" spans="8:15" x14ac:dyDescent="0.3">
      <c r="H228" s="19" t="str">
        <f t="shared" si="24"/>
        <v/>
      </c>
      <c r="I228" s="19" t="str">
        <f t="shared" si="25"/>
        <v/>
      </c>
      <c r="J228" s="19" t="str">
        <f t="shared" si="26"/>
        <v/>
      </c>
      <c r="K228" s="19" t="str">
        <f t="shared" si="27"/>
        <v/>
      </c>
      <c r="L228" s="19" t="str">
        <f t="shared" si="28"/>
        <v/>
      </c>
      <c r="M228" s="19" t="str">
        <f t="shared" si="29"/>
        <v/>
      </c>
      <c r="N228" s="20" t="str">
        <f t="shared" si="30"/>
        <v/>
      </c>
      <c r="O228" t="str">
        <f t="shared" si="31"/>
        <v/>
      </c>
    </row>
    <row r="229" spans="8:15" x14ac:dyDescent="0.3">
      <c r="H229" s="19" t="str">
        <f t="shared" si="24"/>
        <v/>
      </c>
      <c r="I229" s="19" t="str">
        <f t="shared" si="25"/>
        <v/>
      </c>
      <c r="J229" s="19" t="str">
        <f t="shared" si="26"/>
        <v/>
      </c>
      <c r="K229" s="19" t="str">
        <f t="shared" si="27"/>
        <v/>
      </c>
      <c r="L229" s="19" t="str">
        <f t="shared" si="28"/>
        <v/>
      </c>
      <c r="M229" s="19" t="str">
        <f t="shared" si="29"/>
        <v/>
      </c>
      <c r="N229" s="20" t="str">
        <f t="shared" si="30"/>
        <v/>
      </c>
      <c r="O229" t="str">
        <f t="shared" si="31"/>
        <v/>
      </c>
    </row>
    <row r="230" spans="8:15" x14ac:dyDescent="0.3">
      <c r="H230" s="19" t="str">
        <f t="shared" si="24"/>
        <v/>
      </c>
      <c r="I230" s="19" t="str">
        <f t="shared" si="25"/>
        <v/>
      </c>
      <c r="J230" s="19" t="str">
        <f t="shared" si="26"/>
        <v/>
      </c>
      <c r="K230" s="19" t="str">
        <f t="shared" si="27"/>
        <v/>
      </c>
      <c r="L230" s="19" t="str">
        <f t="shared" si="28"/>
        <v/>
      </c>
      <c r="M230" s="19" t="str">
        <f t="shared" si="29"/>
        <v/>
      </c>
      <c r="N230" s="20" t="str">
        <f t="shared" si="30"/>
        <v/>
      </c>
      <c r="O230" t="str">
        <f t="shared" si="31"/>
        <v/>
      </c>
    </row>
    <row r="231" spans="8:15" x14ac:dyDescent="0.3">
      <c r="H231" s="19" t="str">
        <f t="shared" si="24"/>
        <v/>
      </c>
      <c r="I231" s="19" t="str">
        <f t="shared" si="25"/>
        <v/>
      </c>
      <c r="J231" s="19" t="str">
        <f t="shared" si="26"/>
        <v/>
      </c>
      <c r="K231" s="19" t="str">
        <f t="shared" si="27"/>
        <v/>
      </c>
      <c r="L231" s="19" t="str">
        <f t="shared" si="28"/>
        <v/>
      </c>
      <c r="M231" s="19" t="str">
        <f t="shared" si="29"/>
        <v/>
      </c>
      <c r="N231" s="20" t="str">
        <f t="shared" si="30"/>
        <v/>
      </c>
      <c r="O231" t="str">
        <f t="shared" si="31"/>
        <v/>
      </c>
    </row>
    <row r="232" spans="8:15" x14ac:dyDescent="0.3">
      <c r="H232" s="19" t="str">
        <f t="shared" si="24"/>
        <v/>
      </c>
      <c r="I232" s="19" t="str">
        <f t="shared" si="25"/>
        <v/>
      </c>
      <c r="J232" s="19" t="str">
        <f t="shared" si="26"/>
        <v/>
      </c>
      <c r="K232" s="19" t="str">
        <f t="shared" si="27"/>
        <v/>
      </c>
      <c r="L232" s="19" t="str">
        <f t="shared" si="28"/>
        <v/>
      </c>
      <c r="M232" s="19" t="str">
        <f t="shared" si="29"/>
        <v/>
      </c>
      <c r="N232" s="20" t="str">
        <f t="shared" si="30"/>
        <v/>
      </c>
      <c r="O232" t="str">
        <f t="shared" si="31"/>
        <v/>
      </c>
    </row>
    <row r="233" spans="8:15" x14ac:dyDescent="0.3">
      <c r="H233" s="19" t="str">
        <f t="shared" si="24"/>
        <v/>
      </c>
      <c r="I233" s="19" t="str">
        <f t="shared" si="25"/>
        <v/>
      </c>
      <c r="J233" s="19" t="str">
        <f t="shared" si="26"/>
        <v/>
      </c>
      <c r="K233" s="19" t="str">
        <f t="shared" si="27"/>
        <v/>
      </c>
      <c r="L233" s="19" t="str">
        <f t="shared" si="28"/>
        <v/>
      </c>
      <c r="M233" s="19" t="str">
        <f t="shared" si="29"/>
        <v/>
      </c>
      <c r="N233" s="20" t="str">
        <f t="shared" si="30"/>
        <v/>
      </c>
      <c r="O233" t="str">
        <f t="shared" si="31"/>
        <v/>
      </c>
    </row>
    <row r="234" spans="8:15" x14ac:dyDescent="0.3">
      <c r="H234" s="19" t="str">
        <f t="shared" si="24"/>
        <v/>
      </c>
      <c r="I234" s="19" t="str">
        <f t="shared" si="25"/>
        <v/>
      </c>
      <c r="J234" s="19" t="str">
        <f t="shared" si="26"/>
        <v/>
      </c>
      <c r="K234" s="19" t="str">
        <f t="shared" si="27"/>
        <v/>
      </c>
      <c r="L234" s="19" t="str">
        <f t="shared" si="28"/>
        <v/>
      </c>
      <c r="M234" s="19" t="str">
        <f t="shared" si="29"/>
        <v/>
      </c>
      <c r="N234" s="20" t="str">
        <f t="shared" si="30"/>
        <v/>
      </c>
      <c r="O234" t="str">
        <f t="shared" si="31"/>
        <v/>
      </c>
    </row>
    <row r="235" spans="8:15" x14ac:dyDescent="0.3">
      <c r="H235" s="19" t="str">
        <f t="shared" si="24"/>
        <v/>
      </c>
      <c r="I235" s="19" t="str">
        <f t="shared" si="25"/>
        <v/>
      </c>
      <c r="J235" s="19" t="str">
        <f t="shared" si="26"/>
        <v/>
      </c>
      <c r="K235" s="19" t="str">
        <f t="shared" si="27"/>
        <v/>
      </c>
      <c r="L235" s="19" t="str">
        <f t="shared" si="28"/>
        <v/>
      </c>
      <c r="M235" s="19" t="str">
        <f t="shared" si="29"/>
        <v/>
      </c>
      <c r="N235" s="20" t="str">
        <f t="shared" si="30"/>
        <v/>
      </c>
      <c r="O235" t="str">
        <f t="shared" si="31"/>
        <v/>
      </c>
    </row>
    <row r="236" spans="8:15" x14ac:dyDescent="0.3">
      <c r="H236" s="19" t="str">
        <f t="shared" si="24"/>
        <v/>
      </c>
      <c r="I236" s="19" t="str">
        <f t="shared" si="25"/>
        <v/>
      </c>
      <c r="J236" s="19" t="str">
        <f t="shared" si="26"/>
        <v/>
      </c>
      <c r="K236" s="19" t="str">
        <f t="shared" si="27"/>
        <v/>
      </c>
      <c r="L236" s="19" t="str">
        <f t="shared" si="28"/>
        <v/>
      </c>
      <c r="M236" s="19" t="str">
        <f t="shared" si="29"/>
        <v/>
      </c>
      <c r="N236" s="20" t="str">
        <f t="shared" si="30"/>
        <v/>
      </c>
      <c r="O236" t="str">
        <f t="shared" si="31"/>
        <v/>
      </c>
    </row>
    <row r="237" spans="8:15" x14ac:dyDescent="0.3">
      <c r="H237" s="19" t="str">
        <f t="shared" si="24"/>
        <v/>
      </c>
      <c r="I237" s="19" t="str">
        <f t="shared" si="25"/>
        <v/>
      </c>
      <c r="J237" s="19" t="str">
        <f t="shared" si="26"/>
        <v/>
      </c>
      <c r="K237" s="19" t="str">
        <f t="shared" si="27"/>
        <v/>
      </c>
      <c r="L237" s="19" t="str">
        <f t="shared" si="28"/>
        <v/>
      </c>
      <c r="M237" s="19" t="str">
        <f t="shared" si="29"/>
        <v/>
      </c>
      <c r="N237" s="20" t="str">
        <f t="shared" si="30"/>
        <v/>
      </c>
      <c r="O237" t="str">
        <f t="shared" si="31"/>
        <v/>
      </c>
    </row>
    <row r="238" spans="8:15" x14ac:dyDescent="0.3">
      <c r="H238" s="19" t="str">
        <f t="shared" si="24"/>
        <v/>
      </c>
      <c r="I238" s="19" t="str">
        <f t="shared" si="25"/>
        <v/>
      </c>
      <c r="J238" s="19" t="str">
        <f t="shared" si="26"/>
        <v/>
      </c>
      <c r="K238" s="19" t="str">
        <f t="shared" si="27"/>
        <v/>
      </c>
      <c r="L238" s="19" t="str">
        <f t="shared" si="28"/>
        <v/>
      </c>
      <c r="M238" s="19" t="str">
        <f t="shared" si="29"/>
        <v/>
      </c>
      <c r="N238" s="20" t="str">
        <f t="shared" si="30"/>
        <v/>
      </c>
      <c r="O238" t="str">
        <f t="shared" si="31"/>
        <v/>
      </c>
    </row>
    <row r="239" spans="8:15" x14ac:dyDescent="0.3">
      <c r="H239" s="19" t="str">
        <f t="shared" si="24"/>
        <v/>
      </c>
      <c r="I239" s="19" t="str">
        <f t="shared" si="25"/>
        <v/>
      </c>
      <c r="J239" s="19" t="str">
        <f t="shared" si="26"/>
        <v/>
      </c>
      <c r="K239" s="19" t="str">
        <f t="shared" si="27"/>
        <v/>
      </c>
      <c r="L239" s="19" t="str">
        <f t="shared" si="28"/>
        <v/>
      </c>
      <c r="M239" s="19" t="str">
        <f t="shared" si="29"/>
        <v/>
      </c>
      <c r="N239" s="20" t="str">
        <f t="shared" si="30"/>
        <v/>
      </c>
      <c r="O239" t="str">
        <f t="shared" si="31"/>
        <v/>
      </c>
    </row>
    <row r="240" spans="8:15" x14ac:dyDescent="0.3">
      <c r="H240" s="19" t="str">
        <f t="shared" si="24"/>
        <v/>
      </c>
      <c r="I240" s="19" t="str">
        <f t="shared" si="25"/>
        <v/>
      </c>
      <c r="J240" s="19" t="str">
        <f t="shared" si="26"/>
        <v/>
      </c>
      <c r="K240" s="19" t="str">
        <f t="shared" si="27"/>
        <v/>
      </c>
      <c r="L240" s="19" t="str">
        <f t="shared" si="28"/>
        <v/>
      </c>
      <c r="M240" s="19" t="str">
        <f t="shared" si="29"/>
        <v/>
      </c>
      <c r="N240" s="20" t="str">
        <f t="shared" si="30"/>
        <v/>
      </c>
      <c r="O240" t="str">
        <f t="shared" si="31"/>
        <v/>
      </c>
    </row>
    <row r="241" spans="8:15" x14ac:dyDescent="0.3">
      <c r="H241" s="19" t="str">
        <f t="shared" si="24"/>
        <v/>
      </c>
      <c r="I241" s="19" t="str">
        <f t="shared" si="25"/>
        <v/>
      </c>
      <c r="J241" s="19" t="str">
        <f t="shared" si="26"/>
        <v/>
      </c>
      <c r="K241" s="19" t="str">
        <f t="shared" si="27"/>
        <v/>
      </c>
      <c r="L241" s="19" t="str">
        <f t="shared" si="28"/>
        <v/>
      </c>
      <c r="M241" s="19" t="str">
        <f t="shared" si="29"/>
        <v/>
      </c>
      <c r="N241" s="20" t="str">
        <f t="shared" si="30"/>
        <v/>
      </c>
      <c r="O241" t="str">
        <f t="shared" si="31"/>
        <v/>
      </c>
    </row>
    <row r="242" spans="8:15" x14ac:dyDescent="0.3">
      <c r="H242" s="19" t="str">
        <f t="shared" si="24"/>
        <v/>
      </c>
      <c r="I242" s="19" t="str">
        <f t="shared" si="25"/>
        <v/>
      </c>
      <c r="J242" s="19" t="str">
        <f t="shared" si="26"/>
        <v/>
      </c>
      <c r="K242" s="19" t="str">
        <f t="shared" si="27"/>
        <v/>
      </c>
      <c r="L242" s="19" t="str">
        <f t="shared" si="28"/>
        <v/>
      </c>
      <c r="M242" s="19" t="str">
        <f t="shared" si="29"/>
        <v/>
      </c>
      <c r="N242" s="20" t="str">
        <f t="shared" si="30"/>
        <v/>
      </c>
      <c r="O242" t="str">
        <f t="shared" si="31"/>
        <v/>
      </c>
    </row>
    <row r="243" spans="8:15" x14ac:dyDescent="0.3">
      <c r="H243" s="19" t="str">
        <f t="shared" si="24"/>
        <v/>
      </c>
      <c r="I243" s="19" t="str">
        <f t="shared" si="25"/>
        <v/>
      </c>
      <c r="J243" s="19" t="str">
        <f t="shared" si="26"/>
        <v/>
      </c>
      <c r="K243" s="19" t="str">
        <f t="shared" si="27"/>
        <v/>
      </c>
      <c r="L243" s="19" t="str">
        <f t="shared" si="28"/>
        <v/>
      </c>
      <c r="M243" s="19" t="str">
        <f t="shared" si="29"/>
        <v/>
      </c>
      <c r="N243" s="20" t="str">
        <f t="shared" si="30"/>
        <v/>
      </c>
      <c r="O243" t="str">
        <f t="shared" si="31"/>
        <v/>
      </c>
    </row>
    <row r="244" spans="8:15" x14ac:dyDescent="0.3">
      <c r="H244" s="19" t="str">
        <f t="shared" si="24"/>
        <v/>
      </c>
      <c r="I244" s="19" t="str">
        <f t="shared" si="25"/>
        <v/>
      </c>
      <c r="J244" s="19" t="str">
        <f t="shared" si="26"/>
        <v/>
      </c>
      <c r="K244" s="19" t="str">
        <f t="shared" si="27"/>
        <v/>
      </c>
      <c r="L244" s="19" t="str">
        <f t="shared" si="28"/>
        <v/>
      </c>
      <c r="M244" s="19" t="str">
        <f t="shared" si="29"/>
        <v/>
      </c>
      <c r="N244" s="20" t="str">
        <f t="shared" si="30"/>
        <v/>
      </c>
      <c r="O244" t="str">
        <f t="shared" si="31"/>
        <v/>
      </c>
    </row>
    <row r="245" spans="8:15" x14ac:dyDescent="0.3">
      <c r="H245" s="19" t="str">
        <f t="shared" si="24"/>
        <v/>
      </c>
      <c r="I245" s="19" t="str">
        <f t="shared" si="25"/>
        <v/>
      </c>
      <c r="J245" s="19" t="str">
        <f t="shared" si="26"/>
        <v/>
      </c>
      <c r="K245" s="19" t="str">
        <f t="shared" si="27"/>
        <v/>
      </c>
      <c r="L245" s="19" t="str">
        <f t="shared" si="28"/>
        <v/>
      </c>
      <c r="M245" s="19" t="str">
        <f t="shared" si="29"/>
        <v/>
      </c>
      <c r="N245" s="20" t="str">
        <f t="shared" si="30"/>
        <v/>
      </c>
      <c r="O245" t="str">
        <f t="shared" si="31"/>
        <v/>
      </c>
    </row>
    <row r="246" spans="8:15" x14ac:dyDescent="0.3">
      <c r="H246" s="19" t="str">
        <f t="shared" si="24"/>
        <v/>
      </c>
      <c r="I246" s="19" t="str">
        <f t="shared" si="25"/>
        <v/>
      </c>
      <c r="J246" s="19" t="str">
        <f t="shared" si="26"/>
        <v/>
      </c>
      <c r="K246" s="19" t="str">
        <f t="shared" si="27"/>
        <v/>
      </c>
      <c r="L246" s="19" t="str">
        <f t="shared" si="28"/>
        <v/>
      </c>
      <c r="M246" s="19" t="str">
        <f t="shared" si="29"/>
        <v/>
      </c>
      <c r="N246" s="20" t="str">
        <f t="shared" si="30"/>
        <v/>
      </c>
      <c r="O246" t="str">
        <f t="shared" si="31"/>
        <v/>
      </c>
    </row>
    <row r="247" spans="8:15" x14ac:dyDescent="0.3">
      <c r="H247" s="19" t="str">
        <f t="shared" si="24"/>
        <v/>
      </c>
      <c r="I247" s="19" t="str">
        <f t="shared" si="25"/>
        <v/>
      </c>
      <c r="J247" s="19" t="str">
        <f t="shared" si="26"/>
        <v/>
      </c>
      <c r="K247" s="19" t="str">
        <f t="shared" si="27"/>
        <v/>
      </c>
      <c r="L247" s="19" t="str">
        <f t="shared" si="28"/>
        <v/>
      </c>
      <c r="M247" s="19" t="str">
        <f t="shared" si="29"/>
        <v/>
      </c>
      <c r="N247" s="20" t="str">
        <f t="shared" si="30"/>
        <v/>
      </c>
      <c r="O247" t="str">
        <f t="shared" si="31"/>
        <v/>
      </c>
    </row>
    <row r="248" spans="8:15" x14ac:dyDescent="0.3">
      <c r="H248" s="19" t="str">
        <f t="shared" si="24"/>
        <v/>
      </c>
      <c r="I248" s="19" t="str">
        <f t="shared" si="25"/>
        <v/>
      </c>
      <c r="J248" s="19" t="str">
        <f t="shared" si="26"/>
        <v/>
      </c>
      <c r="K248" s="19" t="str">
        <f t="shared" si="27"/>
        <v/>
      </c>
      <c r="L248" s="19" t="str">
        <f t="shared" si="28"/>
        <v/>
      </c>
      <c r="M248" s="19" t="str">
        <f t="shared" si="29"/>
        <v/>
      </c>
      <c r="N248" s="20" t="str">
        <f t="shared" si="30"/>
        <v/>
      </c>
      <c r="O248" t="str">
        <f t="shared" si="31"/>
        <v/>
      </c>
    </row>
    <row r="249" spans="8:15" x14ac:dyDescent="0.3">
      <c r="H249" s="19" t="str">
        <f t="shared" si="24"/>
        <v/>
      </c>
      <c r="I249" s="19" t="str">
        <f t="shared" si="25"/>
        <v/>
      </c>
      <c r="J249" s="19" t="str">
        <f t="shared" si="26"/>
        <v/>
      </c>
      <c r="K249" s="19" t="str">
        <f t="shared" si="27"/>
        <v/>
      </c>
      <c r="L249" s="19" t="str">
        <f t="shared" si="28"/>
        <v/>
      </c>
      <c r="M249" s="19" t="str">
        <f t="shared" si="29"/>
        <v/>
      </c>
      <c r="N249" s="20" t="str">
        <f t="shared" si="30"/>
        <v/>
      </c>
      <c r="O249" t="str">
        <f t="shared" si="31"/>
        <v/>
      </c>
    </row>
    <row r="250" spans="8:15" x14ac:dyDescent="0.3">
      <c r="H250" s="19" t="str">
        <f t="shared" si="24"/>
        <v/>
      </c>
      <c r="I250" s="19" t="str">
        <f t="shared" si="25"/>
        <v/>
      </c>
      <c r="J250" s="19" t="str">
        <f t="shared" si="26"/>
        <v/>
      </c>
      <c r="K250" s="19" t="str">
        <f t="shared" si="27"/>
        <v/>
      </c>
      <c r="L250" s="19" t="str">
        <f t="shared" si="28"/>
        <v/>
      </c>
      <c r="M250" s="19" t="str">
        <f t="shared" si="29"/>
        <v/>
      </c>
      <c r="N250" s="20" t="str">
        <f t="shared" si="30"/>
        <v/>
      </c>
      <c r="O250" t="str">
        <f t="shared" si="31"/>
        <v/>
      </c>
    </row>
    <row r="251" spans="8:15" x14ac:dyDescent="0.3">
      <c r="H251" s="19" t="str">
        <f t="shared" si="24"/>
        <v/>
      </c>
      <c r="I251" s="19" t="str">
        <f t="shared" si="25"/>
        <v/>
      </c>
      <c r="J251" s="19" t="str">
        <f t="shared" si="26"/>
        <v/>
      </c>
      <c r="K251" s="19" t="str">
        <f t="shared" si="27"/>
        <v/>
      </c>
      <c r="L251" s="19" t="str">
        <f t="shared" si="28"/>
        <v/>
      </c>
      <c r="M251" s="19" t="str">
        <f t="shared" si="29"/>
        <v/>
      </c>
      <c r="N251" s="20" t="str">
        <f t="shared" si="30"/>
        <v/>
      </c>
      <c r="O251" t="str">
        <f t="shared" si="31"/>
        <v/>
      </c>
    </row>
    <row r="252" spans="8:15" x14ac:dyDescent="0.3">
      <c r="H252" s="19" t="str">
        <f t="shared" si="24"/>
        <v/>
      </c>
      <c r="I252" s="19" t="str">
        <f t="shared" si="25"/>
        <v/>
      </c>
      <c r="J252" s="19" t="str">
        <f t="shared" si="26"/>
        <v/>
      </c>
      <c r="K252" s="19" t="str">
        <f t="shared" si="27"/>
        <v/>
      </c>
      <c r="L252" s="19" t="str">
        <f t="shared" si="28"/>
        <v/>
      </c>
      <c r="M252" s="19" t="str">
        <f t="shared" si="29"/>
        <v/>
      </c>
      <c r="N252" s="20" t="str">
        <f t="shared" si="30"/>
        <v/>
      </c>
      <c r="O252" t="str">
        <f t="shared" si="31"/>
        <v/>
      </c>
    </row>
    <row r="253" spans="8:15" x14ac:dyDescent="0.3">
      <c r="H253" s="19" t="str">
        <f t="shared" si="24"/>
        <v/>
      </c>
      <c r="I253" s="19" t="str">
        <f t="shared" si="25"/>
        <v/>
      </c>
      <c r="J253" s="19" t="str">
        <f t="shared" si="26"/>
        <v/>
      </c>
      <c r="K253" s="19" t="str">
        <f t="shared" si="27"/>
        <v/>
      </c>
      <c r="L253" s="19" t="str">
        <f t="shared" si="28"/>
        <v/>
      </c>
      <c r="M253" s="19" t="str">
        <f t="shared" si="29"/>
        <v/>
      </c>
      <c r="N253" s="20" t="str">
        <f t="shared" si="30"/>
        <v/>
      </c>
      <c r="O253" t="str">
        <f t="shared" si="31"/>
        <v/>
      </c>
    </row>
    <row r="254" spans="8:15" x14ac:dyDescent="0.3">
      <c r="H254" s="19" t="str">
        <f t="shared" si="24"/>
        <v/>
      </c>
      <c r="I254" s="19" t="str">
        <f t="shared" si="25"/>
        <v/>
      </c>
      <c r="J254" s="19" t="str">
        <f t="shared" si="26"/>
        <v/>
      </c>
      <c r="K254" s="19" t="str">
        <f t="shared" si="27"/>
        <v/>
      </c>
      <c r="L254" s="19" t="str">
        <f t="shared" si="28"/>
        <v/>
      </c>
      <c r="M254" s="19" t="str">
        <f t="shared" si="29"/>
        <v/>
      </c>
      <c r="N254" s="20" t="str">
        <f t="shared" si="30"/>
        <v/>
      </c>
      <c r="O254" t="str">
        <f t="shared" si="31"/>
        <v/>
      </c>
    </row>
    <row r="255" spans="8:15" x14ac:dyDescent="0.3">
      <c r="H255" s="19" t="str">
        <f t="shared" si="24"/>
        <v/>
      </c>
      <c r="I255" s="19" t="str">
        <f t="shared" si="25"/>
        <v/>
      </c>
      <c r="J255" s="19" t="str">
        <f t="shared" si="26"/>
        <v/>
      </c>
      <c r="K255" s="19" t="str">
        <f t="shared" si="27"/>
        <v/>
      </c>
      <c r="L255" s="19" t="str">
        <f t="shared" si="28"/>
        <v/>
      </c>
      <c r="M255" s="19" t="str">
        <f t="shared" si="29"/>
        <v/>
      </c>
      <c r="N255" s="20" t="str">
        <f t="shared" si="30"/>
        <v/>
      </c>
      <c r="O255" t="str">
        <f t="shared" si="31"/>
        <v/>
      </c>
    </row>
    <row r="256" spans="8:15" x14ac:dyDescent="0.3">
      <c r="H256" s="19" t="str">
        <f t="shared" si="24"/>
        <v/>
      </c>
      <c r="I256" s="19" t="str">
        <f t="shared" si="25"/>
        <v/>
      </c>
      <c r="J256" s="19" t="str">
        <f t="shared" si="26"/>
        <v/>
      </c>
      <c r="K256" s="19" t="str">
        <f t="shared" si="27"/>
        <v/>
      </c>
      <c r="L256" s="19" t="str">
        <f t="shared" si="28"/>
        <v/>
      </c>
      <c r="M256" s="19" t="str">
        <f t="shared" si="29"/>
        <v/>
      </c>
      <c r="N256" s="20" t="str">
        <f t="shared" si="30"/>
        <v/>
      </c>
      <c r="O256" t="str">
        <f t="shared" si="31"/>
        <v/>
      </c>
    </row>
    <row r="257" spans="8:15" x14ac:dyDescent="0.3">
      <c r="H257" s="19" t="str">
        <f t="shared" si="24"/>
        <v/>
      </c>
      <c r="I257" s="19" t="str">
        <f t="shared" si="25"/>
        <v/>
      </c>
      <c r="J257" s="19" t="str">
        <f t="shared" si="26"/>
        <v/>
      </c>
      <c r="K257" s="19" t="str">
        <f t="shared" si="27"/>
        <v/>
      </c>
      <c r="L257" s="19" t="str">
        <f t="shared" si="28"/>
        <v/>
      </c>
      <c r="M257" s="19" t="str">
        <f t="shared" si="29"/>
        <v/>
      </c>
      <c r="N257" s="20" t="str">
        <f t="shared" si="30"/>
        <v/>
      </c>
      <c r="O257" t="str">
        <f t="shared" si="31"/>
        <v/>
      </c>
    </row>
    <row r="258" spans="8:15" x14ac:dyDescent="0.3">
      <c r="H258" s="19" t="str">
        <f t="shared" si="24"/>
        <v/>
      </c>
      <c r="I258" s="19" t="str">
        <f t="shared" si="25"/>
        <v/>
      </c>
      <c r="J258" s="19" t="str">
        <f t="shared" si="26"/>
        <v/>
      </c>
      <c r="K258" s="19" t="str">
        <f t="shared" si="27"/>
        <v/>
      </c>
      <c r="L258" s="19" t="str">
        <f t="shared" si="28"/>
        <v/>
      </c>
      <c r="M258" s="19" t="str">
        <f t="shared" si="29"/>
        <v/>
      </c>
      <c r="N258" s="20" t="str">
        <f t="shared" si="30"/>
        <v/>
      </c>
      <c r="O258" t="str">
        <f t="shared" si="31"/>
        <v/>
      </c>
    </row>
    <row r="259" spans="8:15" x14ac:dyDescent="0.3">
      <c r="H259" s="19" t="str">
        <f t="shared" ref="H259:H322" si="32">IF(AND(B259&lt;&gt;"",D259&lt;&gt;""),D259/1.6021766341/B259,"")</f>
        <v/>
      </c>
      <c r="I259" s="19" t="str">
        <f t="shared" ref="I259:I322" si="33">IF(AND(B259&lt;&gt;"",D259&lt;&gt;"",C259&lt;&gt;""),D259*C259^2*0.000001,"")</f>
        <v/>
      </c>
      <c r="J259" s="19" t="str">
        <f t="shared" ref="J259:J322" si="34">IF(AND(A259&lt;&gt;"",B259&lt;&gt;"",C259&lt;&gt;""),(B259/2.509412225*(EXP(C259/86.17333262-2)-1.075*EXP(-2)))^(2/3)*300/A259,"")</f>
        <v/>
      </c>
      <c r="K259" s="19" t="str">
        <f t="shared" ref="K259:K322" si="35">IF(J259&lt;&gt;"",H259*(1+(J259*A259/300)^(-3/2)*B259/(2*2.509412225))^(1/3),"")</f>
        <v/>
      </c>
      <c r="L259" s="19" t="str">
        <f t="shared" ref="L259:L322" si="36">IF(AND(A259&lt;&gt;"",M259&lt;&gt;""),M259*(300/A259)^(3/2),"")</f>
        <v/>
      </c>
      <c r="M259" s="19" t="str">
        <f t="shared" ref="M259:M322" si="37">IF(AND(C259&lt;&gt;"",D259&lt;&gt;""),D259/4.02052163221989*(EXP(C259/86.17333262-2)-1.075*EXP(-2))*(1+0.5/(EXP(C259/86.17333262-2)-1.075*EXP(-2)))^(1/3),"")</f>
        <v/>
      </c>
      <c r="N259" s="20" t="str">
        <f t="shared" ref="N259:N322" si="38">IF(M259&lt;&gt;"",0.12122458*M259,"")</f>
        <v/>
      </c>
      <c r="O259" t="str">
        <f t="shared" ref="O259:O322" si="39">IF(AND(B259&lt;&gt;"",C259&lt;&gt;""),1.255*B259*(EXP(C259/86.17333262-2)-1.075*EXP(-2)),"")</f>
        <v/>
      </c>
    </row>
    <row r="260" spans="8:15" x14ac:dyDescent="0.3">
      <c r="H260" s="19" t="str">
        <f t="shared" si="32"/>
        <v/>
      </c>
      <c r="I260" s="19" t="str">
        <f t="shared" si="33"/>
        <v/>
      </c>
      <c r="J260" s="19" t="str">
        <f t="shared" si="34"/>
        <v/>
      </c>
      <c r="K260" s="19" t="str">
        <f t="shared" si="35"/>
        <v/>
      </c>
      <c r="L260" s="19" t="str">
        <f t="shared" si="36"/>
        <v/>
      </c>
      <c r="M260" s="19" t="str">
        <f t="shared" si="37"/>
        <v/>
      </c>
      <c r="N260" s="20" t="str">
        <f t="shared" si="38"/>
        <v/>
      </c>
      <c r="O260" t="str">
        <f t="shared" si="39"/>
        <v/>
      </c>
    </row>
    <row r="261" spans="8:15" x14ac:dyDescent="0.3">
      <c r="H261" s="19" t="str">
        <f t="shared" si="32"/>
        <v/>
      </c>
      <c r="I261" s="19" t="str">
        <f t="shared" si="33"/>
        <v/>
      </c>
      <c r="J261" s="19" t="str">
        <f t="shared" si="34"/>
        <v/>
      </c>
      <c r="K261" s="19" t="str">
        <f t="shared" si="35"/>
        <v/>
      </c>
      <c r="L261" s="19" t="str">
        <f t="shared" si="36"/>
        <v/>
      </c>
      <c r="M261" s="19" t="str">
        <f t="shared" si="37"/>
        <v/>
      </c>
      <c r="N261" s="20" t="str">
        <f t="shared" si="38"/>
        <v/>
      </c>
      <c r="O261" t="str">
        <f t="shared" si="39"/>
        <v/>
      </c>
    </row>
    <row r="262" spans="8:15" x14ac:dyDescent="0.3">
      <c r="H262" s="19" t="str">
        <f t="shared" si="32"/>
        <v/>
      </c>
      <c r="I262" s="19" t="str">
        <f t="shared" si="33"/>
        <v/>
      </c>
      <c r="J262" s="19" t="str">
        <f t="shared" si="34"/>
        <v/>
      </c>
      <c r="K262" s="19" t="str">
        <f t="shared" si="35"/>
        <v/>
      </c>
      <c r="L262" s="19" t="str">
        <f t="shared" si="36"/>
        <v/>
      </c>
      <c r="M262" s="19" t="str">
        <f t="shared" si="37"/>
        <v/>
      </c>
      <c r="N262" s="20" t="str">
        <f t="shared" si="38"/>
        <v/>
      </c>
      <c r="O262" t="str">
        <f t="shared" si="39"/>
        <v/>
      </c>
    </row>
    <row r="263" spans="8:15" x14ac:dyDescent="0.3">
      <c r="H263" s="19" t="str">
        <f t="shared" si="32"/>
        <v/>
      </c>
      <c r="I263" s="19" t="str">
        <f t="shared" si="33"/>
        <v/>
      </c>
      <c r="J263" s="19" t="str">
        <f t="shared" si="34"/>
        <v/>
      </c>
      <c r="K263" s="19" t="str">
        <f t="shared" si="35"/>
        <v/>
      </c>
      <c r="L263" s="19" t="str">
        <f t="shared" si="36"/>
        <v/>
      </c>
      <c r="M263" s="19" t="str">
        <f t="shared" si="37"/>
        <v/>
      </c>
      <c r="N263" s="20" t="str">
        <f t="shared" si="38"/>
        <v/>
      </c>
      <c r="O263" t="str">
        <f t="shared" si="39"/>
        <v/>
      </c>
    </row>
    <row r="264" spans="8:15" x14ac:dyDescent="0.3">
      <c r="H264" s="19" t="str">
        <f t="shared" si="32"/>
        <v/>
      </c>
      <c r="I264" s="19" t="str">
        <f t="shared" si="33"/>
        <v/>
      </c>
      <c r="J264" s="19" t="str">
        <f t="shared" si="34"/>
        <v/>
      </c>
      <c r="K264" s="19" t="str">
        <f t="shared" si="35"/>
        <v/>
      </c>
      <c r="L264" s="19" t="str">
        <f t="shared" si="36"/>
        <v/>
      </c>
      <c r="M264" s="19" t="str">
        <f t="shared" si="37"/>
        <v/>
      </c>
      <c r="N264" s="20" t="str">
        <f t="shared" si="38"/>
        <v/>
      </c>
      <c r="O264" t="str">
        <f t="shared" si="39"/>
        <v/>
      </c>
    </row>
    <row r="265" spans="8:15" x14ac:dyDescent="0.3">
      <c r="H265" s="19" t="str">
        <f t="shared" si="32"/>
        <v/>
      </c>
      <c r="I265" s="19" t="str">
        <f t="shared" si="33"/>
        <v/>
      </c>
      <c r="J265" s="19" t="str">
        <f t="shared" si="34"/>
        <v/>
      </c>
      <c r="K265" s="19" t="str">
        <f t="shared" si="35"/>
        <v/>
      </c>
      <c r="L265" s="19" t="str">
        <f t="shared" si="36"/>
        <v/>
      </c>
      <c r="M265" s="19" t="str">
        <f t="shared" si="37"/>
        <v/>
      </c>
      <c r="N265" s="20" t="str">
        <f t="shared" si="38"/>
        <v/>
      </c>
      <c r="O265" t="str">
        <f t="shared" si="39"/>
        <v/>
      </c>
    </row>
    <row r="266" spans="8:15" x14ac:dyDescent="0.3">
      <c r="H266" s="19" t="str">
        <f t="shared" si="32"/>
        <v/>
      </c>
      <c r="I266" s="19" t="str">
        <f t="shared" si="33"/>
        <v/>
      </c>
      <c r="J266" s="19" t="str">
        <f t="shared" si="34"/>
        <v/>
      </c>
      <c r="K266" s="19" t="str">
        <f t="shared" si="35"/>
        <v/>
      </c>
      <c r="L266" s="19" t="str">
        <f t="shared" si="36"/>
        <v/>
      </c>
      <c r="M266" s="19" t="str">
        <f t="shared" si="37"/>
        <v/>
      </c>
      <c r="N266" s="20" t="str">
        <f t="shared" si="38"/>
        <v/>
      </c>
      <c r="O266" t="str">
        <f t="shared" si="39"/>
        <v/>
      </c>
    </row>
    <row r="267" spans="8:15" x14ac:dyDescent="0.3">
      <c r="H267" s="19" t="str">
        <f t="shared" si="32"/>
        <v/>
      </c>
      <c r="I267" s="19" t="str">
        <f t="shared" si="33"/>
        <v/>
      </c>
      <c r="J267" s="19" t="str">
        <f t="shared" si="34"/>
        <v/>
      </c>
      <c r="K267" s="19" t="str">
        <f t="shared" si="35"/>
        <v/>
      </c>
      <c r="L267" s="19" t="str">
        <f t="shared" si="36"/>
        <v/>
      </c>
      <c r="M267" s="19" t="str">
        <f t="shared" si="37"/>
        <v/>
      </c>
      <c r="N267" s="20" t="str">
        <f t="shared" si="38"/>
        <v/>
      </c>
      <c r="O267" t="str">
        <f t="shared" si="39"/>
        <v/>
      </c>
    </row>
    <row r="268" spans="8:15" x14ac:dyDescent="0.3">
      <c r="H268" s="19" t="str">
        <f t="shared" si="32"/>
        <v/>
      </c>
      <c r="I268" s="19" t="str">
        <f t="shared" si="33"/>
        <v/>
      </c>
      <c r="J268" s="19" t="str">
        <f t="shared" si="34"/>
        <v/>
      </c>
      <c r="K268" s="19" t="str">
        <f t="shared" si="35"/>
        <v/>
      </c>
      <c r="L268" s="19" t="str">
        <f t="shared" si="36"/>
        <v/>
      </c>
      <c r="M268" s="19" t="str">
        <f t="shared" si="37"/>
        <v/>
      </c>
      <c r="N268" s="20" t="str">
        <f t="shared" si="38"/>
        <v/>
      </c>
      <c r="O268" t="str">
        <f t="shared" si="39"/>
        <v/>
      </c>
    </row>
    <row r="269" spans="8:15" x14ac:dyDescent="0.3">
      <c r="H269" s="19" t="str">
        <f t="shared" si="32"/>
        <v/>
      </c>
      <c r="I269" s="19" t="str">
        <f t="shared" si="33"/>
        <v/>
      </c>
      <c r="J269" s="19" t="str">
        <f t="shared" si="34"/>
        <v/>
      </c>
      <c r="K269" s="19" t="str">
        <f t="shared" si="35"/>
        <v/>
      </c>
      <c r="L269" s="19" t="str">
        <f t="shared" si="36"/>
        <v/>
      </c>
      <c r="M269" s="19" t="str">
        <f t="shared" si="37"/>
        <v/>
      </c>
      <c r="N269" s="20" t="str">
        <f t="shared" si="38"/>
        <v/>
      </c>
      <c r="O269" t="str">
        <f t="shared" si="39"/>
        <v/>
      </c>
    </row>
    <row r="270" spans="8:15" x14ac:dyDescent="0.3">
      <c r="H270" s="19" t="str">
        <f t="shared" si="32"/>
        <v/>
      </c>
      <c r="I270" s="19" t="str">
        <f t="shared" si="33"/>
        <v/>
      </c>
      <c r="J270" s="19" t="str">
        <f t="shared" si="34"/>
        <v/>
      </c>
      <c r="K270" s="19" t="str">
        <f t="shared" si="35"/>
        <v/>
      </c>
      <c r="L270" s="19" t="str">
        <f t="shared" si="36"/>
        <v/>
      </c>
      <c r="M270" s="19" t="str">
        <f t="shared" si="37"/>
        <v/>
      </c>
      <c r="N270" s="20" t="str">
        <f t="shared" si="38"/>
        <v/>
      </c>
      <c r="O270" t="str">
        <f t="shared" si="39"/>
        <v/>
      </c>
    </row>
    <row r="271" spans="8:15" x14ac:dyDescent="0.3">
      <c r="H271" s="19" t="str">
        <f t="shared" si="32"/>
        <v/>
      </c>
      <c r="I271" s="19" t="str">
        <f t="shared" si="33"/>
        <v/>
      </c>
      <c r="J271" s="19" t="str">
        <f t="shared" si="34"/>
        <v/>
      </c>
      <c r="K271" s="19" t="str">
        <f t="shared" si="35"/>
        <v/>
      </c>
      <c r="L271" s="19" t="str">
        <f t="shared" si="36"/>
        <v/>
      </c>
      <c r="M271" s="19" t="str">
        <f t="shared" si="37"/>
        <v/>
      </c>
      <c r="N271" s="20" t="str">
        <f t="shared" si="38"/>
        <v/>
      </c>
      <c r="O271" t="str">
        <f t="shared" si="39"/>
        <v/>
      </c>
    </row>
    <row r="272" spans="8:15" x14ac:dyDescent="0.3">
      <c r="H272" s="19" t="str">
        <f t="shared" si="32"/>
        <v/>
      </c>
      <c r="I272" s="19" t="str">
        <f t="shared" si="33"/>
        <v/>
      </c>
      <c r="J272" s="19" t="str">
        <f t="shared" si="34"/>
        <v/>
      </c>
      <c r="K272" s="19" t="str">
        <f t="shared" si="35"/>
        <v/>
      </c>
      <c r="L272" s="19" t="str">
        <f t="shared" si="36"/>
        <v/>
      </c>
      <c r="M272" s="19" t="str">
        <f t="shared" si="37"/>
        <v/>
      </c>
      <c r="N272" s="20" t="str">
        <f t="shared" si="38"/>
        <v/>
      </c>
      <c r="O272" t="str">
        <f t="shared" si="39"/>
        <v/>
      </c>
    </row>
    <row r="273" spans="8:15" x14ac:dyDescent="0.3">
      <c r="H273" s="19" t="str">
        <f t="shared" si="32"/>
        <v/>
      </c>
      <c r="I273" s="19" t="str">
        <f t="shared" si="33"/>
        <v/>
      </c>
      <c r="J273" s="19" t="str">
        <f t="shared" si="34"/>
        <v/>
      </c>
      <c r="K273" s="19" t="str">
        <f t="shared" si="35"/>
        <v/>
      </c>
      <c r="L273" s="19" t="str">
        <f t="shared" si="36"/>
        <v/>
      </c>
      <c r="M273" s="19" t="str">
        <f t="shared" si="37"/>
        <v/>
      </c>
      <c r="N273" s="20" t="str">
        <f t="shared" si="38"/>
        <v/>
      </c>
      <c r="O273" t="str">
        <f t="shared" si="39"/>
        <v/>
      </c>
    </row>
    <row r="274" spans="8:15" x14ac:dyDescent="0.3">
      <c r="H274" s="19" t="str">
        <f t="shared" si="32"/>
        <v/>
      </c>
      <c r="I274" s="19" t="str">
        <f t="shared" si="33"/>
        <v/>
      </c>
      <c r="J274" s="19" t="str">
        <f t="shared" si="34"/>
        <v/>
      </c>
      <c r="K274" s="19" t="str">
        <f t="shared" si="35"/>
        <v/>
      </c>
      <c r="L274" s="19" t="str">
        <f t="shared" si="36"/>
        <v/>
      </c>
      <c r="M274" s="19" t="str">
        <f t="shared" si="37"/>
        <v/>
      </c>
      <c r="N274" s="20" t="str">
        <f t="shared" si="38"/>
        <v/>
      </c>
      <c r="O274" t="str">
        <f t="shared" si="39"/>
        <v/>
      </c>
    </row>
    <row r="275" spans="8:15" x14ac:dyDescent="0.3">
      <c r="H275" s="19" t="str">
        <f t="shared" si="32"/>
        <v/>
      </c>
      <c r="I275" s="19" t="str">
        <f t="shared" si="33"/>
        <v/>
      </c>
      <c r="J275" s="19" t="str">
        <f t="shared" si="34"/>
        <v/>
      </c>
      <c r="K275" s="19" t="str">
        <f t="shared" si="35"/>
        <v/>
      </c>
      <c r="L275" s="19" t="str">
        <f t="shared" si="36"/>
        <v/>
      </c>
      <c r="M275" s="19" t="str">
        <f t="shared" si="37"/>
        <v/>
      </c>
      <c r="N275" s="20" t="str">
        <f t="shared" si="38"/>
        <v/>
      </c>
      <c r="O275" t="str">
        <f t="shared" si="39"/>
        <v/>
      </c>
    </row>
    <row r="276" spans="8:15" x14ac:dyDescent="0.3">
      <c r="H276" s="19" t="str">
        <f t="shared" si="32"/>
        <v/>
      </c>
      <c r="I276" s="19" t="str">
        <f t="shared" si="33"/>
        <v/>
      </c>
      <c r="J276" s="19" t="str">
        <f t="shared" si="34"/>
        <v/>
      </c>
      <c r="K276" s="19" t="str">
        <f t="shared" si="35"/>
        <v/>
      </c>
      <c r="L276" s="19" t="str">
        <f t="shared" si="36"/>
        <v/>
      </c>
      <c r="M276" s="19" t="str">
        <f t="shared" si="37"/>
        <v/>
      </c>
      <c r="N276" s="20" t="str">
        <f t="shared" si="38"/>
        <v/>
      </c>
      <c r="O276" t="str">
        <f t="shared" si="39"/>
        <v/>
      </c>
    </row>
    <row r="277" spans="8:15" x14ac:dyDescent="0.3">
      <c r="H277" s="19" t="str">
        <f t="shared" si="32"/>
        <v/>
      </c>
      <c r="I277" s="19" t="str">
        <f t="shared" si="33"/>
        <v/>
      </c>
      <c r="J277" s="19" t="str">
        <f t="shared" si="34"/>
        <v/>
      </c>
      <c r="K277" s="19" t="str">
        <f t="shared" si="35"/>
        <v/>
      </c>
      <c r="L277" s="19" t="str">
        <f t="shared" si="36"/>
        <v/>
      </c>
      <c r="M277" s="19" t="str">
        <f t="shared" si="37"/>
        <v/>
      </c>
      <c r="N277" s="20" t="str">
        <f t="shared" si="38"/>
        <v/>
      </c>
      <c r="O277" t="str">
        <f t="shared" si="39"/>
        <v/>
      </c>
    </row>
    <row r="278" spans="8:15" x14ac:dyDescent="0.3">
      <c r="H278" s="19" t="str">
        <f t="shared" si="32"/>
        <v/>
      </c>
      <c r="I278" s="19" t="str">
        <f t="shared" si="33"/>
        <v/>
      </c>
      <c r="J278" s="19" t="str">
        <f t="shared" si="34"/>
        <v/>
      </c>
      <c r="K278" s="19" t="str">
        <f t="shared" si="35"/>
        <v/>
      </c>
      <c r="L278" s="19" t="str">
        <f t="shared" si="36"/>
        <v/>
      </c>
      <c r="M278" s="19" t="str">
        <f t="shared" si="37"/>
        <v/>
      </c>
      <c r="N278" s="20" t="str">
        <f t="shared" si="38"/>
        <v/>
      </c>
      <c r="O278" t="str">
        <f t="shared" si="39"/>
        <v/>
      </c>
    </row>
    <row r="279" spans="8:15" x14ac:dyDescent="0.3">
      <c r="H279" s="19" t="str">
        <f t="shared" si="32"/>
        <v/>
      </c>
      <c r="I279" s="19" t="str">
        <f t="shared" si="33"/>
        <v/>
      </c>
      <c r="J279" s="19" t="str">
        <f t="shared" si="34"/>
        <v/>
      </c>
      <c r="K279" s="19" t="str">
        <f t="shared" si="35"/>
        <v/>
      </c>
      <c r="L279" s="19" t="str">
        <f t="shared" si="36"/>
        <v/>
      </c>
      <c r="M279" s="19" t="str">
        <f t="shared" si="37"/>
        <v/>
      </c>
      <c r="N279" s="20" t="str">
        <f t="shared" si="38"/>
        <v/>
      </c>
      <c r="O279" t="str">
        <f t="shared" si="39"/>
        <v/>
      </c>
    </row>
    <row r="280" spans="8:15" x14ac:dyDescent="0.3">
      <c r="H280" s="19" t="str">
        <f t="shared" si="32"/>
        <v/>
      </c>
      <c r="I280" s="19" t="str">
        <f t="shared" si="33"/>
        <v/>
      </c>
      <c r="J280" s="19" t="str">
        <f t="shared" si="34"/>
        <v/>
      </c>
      <c r="K280" s="19" t="str">
        <f t="shared" si="35"/>
        <v/>
      </c>
      <c r="L280" s="19" t="str">
        <f t="shared" si="36"/>
        <v/>
      </c>
      <c r="M280" s="19" t="str">
        <f t="shared" si="37"/>
        <v/>
      </c>
      <c r="N280" s="20" t="str">
        <f t="shared" si="38"/>
        <v/>
      </c>
      <c r="O280" t="str">
        <f t="shared" si="39"/>
        <v/>
      </c>
    </row>
    <row r="281" spans="8:15" x14ac:dyDescent="0.3">
      <c r="H281" s="19" t="str">
        <f t="shared" si="32"/>
        <v/>
      </c>
      <c r="I281" s="19" t="str">
        <f t="shared" si="33"/>
        <v/>
      </c>
      <c r="J281" s="19" t="str">
        <f t="shared" si="34"/>
        <v/>
      </c>
      <c r="K281" s="19" t="str">
        <f t="shared" si="35"/>
        <v/>
      </c>
      <c r="L281" s="19" t="str">
        <f t="shared" si="36"/>
        <v/>
      </c>
      <c r="M281" s="19" t="str">
        <f t="shared" si="37"/>
        <v/>
      </c>
      <c r="N281" s="20" t="str">
        <f t="shared" si="38"/>
        <v/>
      </c>
      <c r="O281" t="str">
        <f t="shared" si="39"/>
        <v/>
      </c>
    </row>
    <row r="282" spans="8:15" x14ac:dyDescent="0.3">
      <c r="H282" s="19" t="str">
        <f t="shared" si="32"/>
        <v/>
      </c>
      <c r="I282" s="19" t="str">
        <f t="shared" si="33"/>
        <v/>
      </c>
      <c r="J282" s="19" t="str">
        <f t="shared" si="34"/>
        <v/>
      </c>
      <c r="K282" s="19" t="str">
        <f t="shared" si="35"/>
        <v/>
      </c>
      <c r="L282" s="19" t="str">
        <f t="shared" si="36"/>
        <v/>
      </c>
      <c r="M282" s="19" t="str">
        <f t="shared" si="37"/>
        <v/>
      </c>
      <c r="N282" s="20" t="str">
        <f t="shared" si="38"/>
        <v/>
      </c>
      <c r="O282" t="str">
        <f t="shared" si="39"/>
        <v/>
      </c>
    </row>
    <row r="283" spans="8:15" x14ac:dyDescent="0.3">
      <c r="H283" s="19" t="str">
        <f t="shared" si="32"/>
        <v/>
      </c>
      <c r="I283" s="19" t="str">
        <f t="shared" si="33"/>
        <v/>
      </c>
      <c r="J283" s="19" t="str">
        <f t="shared" si="34"/>
        <v/>
      </c>
      <c r="K283" s="19" t="str">
        <f t="shared" si="35"/>
        <v/>
      </c>
      <c r="L283" s="19" t="str">
        <f t="shared" si="36"/>
        <v/>
      </c>
      <c r="M283" s="19" t="str">
        <f t="shared" si="37"/>
        <v/>
      </c>
      <c r="N283" s="20" t="str">
        <f t="shared" si="38"/>
        <v/>
      </c>
      <c r="O283" t="str">
        <f t="shared" si="39"/>
        <v/>
      </c>
    </row>
    <row r="284" spans="8:15" x14ac:dyDescent="0.3">
      <c r="H284" s="19" t="str">
        <f t="shared" si="32"/>
        <v/>
      </c>
      <c r="I284" s="19" t="str">
        <f t="shared" si="33"/>
        <v/>
      </c>
      <c r="J284" s="19" t="str">
        <f t="shared" si="34"/>
        <v/>
      </c>
      <c r="K284" s="19" t="str">
        <f t="shared" si="35"/>
        <v/>
      </c>
      <c r="L284" s="19" t="str">
        <f t="shared" si="36"/>
        <v/>
      </c>
      <c r="M284" s="19" t="str">
        <f t="shared" si="37"/>
        <v/>
      </c>
      <c r="N284" s="20" t="str">
        <f t="shared" si="38"/>
        <v/>
      </c>
      <c r="O284" t="str">
        <f t="shared" si="39"/>
        <v/>
      </c>
    </row>
    <row r="285" spans="8:15" x14ac:dyDescent="0.3">
      <c r="H285" s="19" t="str">
        <f t="shared" si="32"/>
        <v/>
      </c>
      <c r="I285" s="19" t="str">
        <f t="shared" si="33"/>
        <v/>
      </c>
      <c r="J285" s="19" t="str">
        <f t="shared" si="34"/>
        <v/>
      </c>
      <c r="K285" s="19" t="str">
        <f t="shared" si="35"/>
        <v/>
      </c>
      <c r="L285" s="19" t="str">
        <f t="shared" si="36"/>
        <v/>
      </c>
      <c r="M285" s="19" t="str">
        <f t="shared" si="37"/>
        <v/>
      </c>
      <c r="N285" s="20" t="str">
        <f t="shared" si="38"/>
        <v/>
      </c>
      <c r="O285" t="str">
        <f t="shared" si="39"/>
        <v/>
      </c>
    </row>
    <row r="286" spans="8:15" x14ac:dyDescent="0.3">
      <c r="H286" s="19" t="str">
        <f t="shared" si="32"/>
        <v/>
      </c>
      <c r="I286" s="19" t="str">
        <f t="shared" si="33"/>
        <v/>
      </c>
      <c r="J286" s="19" t="str">
        <f t="shared" si="34"/>
        <v/>
      </c>
      <c r="K286" s="19" t="str">
        <f t="shared" si="35"/>
        <v/>
      </c>
      <c r="L286" s="19" t="str">
        <f t="shared" si="36"/>
        <v/>
      </c>
      <c r="M286" s="19" t="str">
        <f t="shared" si="37"/>
        <v/>
      </c>
      <c r="N286" s="20" t="str">
        <f t="shared" si="38"/>
        <v/>
      </c>
      <c r="O286" t="str">
        <f t="shared" si="39"/>
        <v/>
      </c>
    </row>
    <row r="287" spans="8:15" x14ac:dyDescent="0.3">
      <c r="H287" s="19" t="str">
        <f t="shared" si="32"/>
        <v/>
      </c>
      <c r="I287" s="19" t="str">
        <f t="shared" si="33"/>
        <v/>
      </c>
      <c r="J287" s="19" t="str">
        <f t="shared" si="34"/>
        <v/>
      </c>
      <c r="K287" s="19" t="str">
        <f t="shared" si="35"/>
        <v/>
      </c>
      <c r="L287" s="19" t="str">
        <f t="shared" si="36"/>
        <v/>
      </c>
      <c r="M287" s="19" t="str">
        <f t="shared" si="37"/>
        <v/>
      </c>
      <c r="N287" s="20" t="str">
        <f t="shared" si="38"/>
        <v/>
      </c>
      <c r="O287" t="str">
        <f t="shared" si="39"/>
        <v/>
      </c>
    </row>
    <row r="288" spans="8:15" x14ac:dyDescent="0.3">
      <c r="H288" s="19" t="str">
        <f t="shared" si="32"/>
        <v/>
      </c>
      <c r="I288" s="19" t="str">
        <f t="shared" si="33"/>
        <v/>
      </c>
      <c r="J288" s="19" t="str">
        <f t="shared" si="34"/>
        <v/>
      </c>
      <c r="K288" s="19" t="str">
        <f t="shared" si="35"/>
        <v/>
      </c>
      <c r="L288" s="19" t="str">
        <f t="shared" si="36"/>
        <v/>
      </c>
      <c r="M288" s="19" t="str">
        <f t="shared" si="37"/>
        <v/>
      </c>
      <c r="N288" s="20" t="str">
        <f t="shared" si="38"/>
        <v/>
      </c>
      <c r="O288" t="str">
        <f t="shared" si="39"/>
        <v/>
      </c>
    </row>
    <row r="289" spans="8:15" x14ac:dyDescent="0.3">
      <c r="H289" s="19" t="str">
        <f t="shared" si="32"/>
        <v/>
      </c>
      <c r="I289" s="19" t="str">
        <f t="shared" si="33"/>
        <v/>
      </c>
      <c r="J289" s="19" t="str">
        <f t="shared" si="34"/>
        <v/>
      </c>
      <c r="K289" s="19" t="str">
        <f t="shared" si="35"/>
        <v/>
      </c>
      <c r="L289" s="19" t="str">
        <f t="shared" si="36"/>
        <v/>
      </c>
      <c r="M289" s="19" t="str">
        <f t="shared" si="37"/>
        <v/>
      </c>
      <c r="N289" s="20" t="str">
        <f t="shared" si="38"/>
        <v/>
      </c>
      <c r="O289" t="str">
        <f t="shared" si="39"/>
        <v/>
      </c>
    </row>
    <row r="290" spans="8:15" x14ac:dyDescent="0.3">
      <c r="H290" s="19" t="str">
        <f t="shared" si="32"/>
        <v/>
      </c>
      <c r="I290" s="19" t="str">
        <f t="shared" si="33"/>
        <v/>
      </c>
      <c r="J290" s="19" t="str">
        <f t="shared" si="34"/>
        <v/>
      </c>
      <c r="K290" s="19" t="str">
        <f t="shared" si="35"/>
        <v/>
      </c>
      <c r="L290" s="19" t="str">
        <f t="shared" si="36"/>
        <v/>
      </c>
      <c r="M290" s="19" t="str">
        <f t="shared" si="37"/>
        <v/>
      </c>
      <c r="N290" s="20" t="str">
        <f t="shared" si="38"/>
        <v/>
      </c>
      <c r="O290" t="str">
        <f t="shared" si="39"/>
        <v/>
      </c>
    </row>
    <row r="291" spans="8:15" x14ac:dyDescent="0.3">
      <c r="H291" s="19" t="str">
        <f t="shared" si="32"/>
        <v/>
      </c>
      <c r="I291" s="19" t="str">
        <f t="shared" si="33"/>
        <v/>
      </c>
      <c r="J291" s="19" t="str">
        <f t="shared" si="34"/>
        <v/>
      </c>
      <c r="K291" s="19" t="str">
        <f t="shared" si="35"/>
        <v/>
      </c>
      <c r="L291" s="19" t="str">
        <f t="shared" si="36"/>
        <v/>
      </c>
      <c r="M291" s="19" t="str">
        <f t="shared" si="37"/>
        <v/>
      </c>
      <c r="N291" s="20" t="str">
        <f t="shared" si="38"/>
        <v/>
      </c>
      <c r="O291" t="str">
        <f t="shared" si="39"/>
        <v/>
      </c>
    </row>
    <row r="292" spans="8:15" x14ac:dyDescent="0.3">
      <c r="H292" s="19" t="str">
        <f t="shared" si="32"/>
        <v/>
      </c>
      <c r="I292" s="19" t="str">
        <f t="shared" si="33"/>
        <v/>
      </c>
      <c r="J292" s="19" t="str">
        <f t="shared" si="34"/>
        <v/>
      </c>
      <c r="K292" s="19" t="str">
        <f t="shared" si="35"/>
        <v/>
      </c>
      <c r="L292" s="19" t="str">
        <f t="shared" si="36"/>
        <v/>
      </c>
      <c r="M292" s="19" t="str">
        <f t="shared" si="37"/>
        <v/>
      </c>
      <c r="N292" s="20" t="str">
        <f t="shared" si="38"/>
        <v/>
      </c>
      <c r="O292" t="str">
        <f t="shared" si="39"/>
        <v/>
      </c>
    </row>
    <row r="293" spans="8:15" x14ac:dyDescent="0.3">
      <c r="H293" s="19" t="str">
        <f t="shared" si="32"/>
        <v/>
      </c>
      <c r="I293" s="19" t="str">
        <f t="shared" si="33"/>
        <v/>
      </c>
      <c r="J293" s="19" t="str">
        <f t="shared" si="34"/>
        <v/>
      </c>
      <c r="K293" s="19" t="str">
        <f t="shared" si="35"/>
        <v/>
      </c>
      <c r="L293" s="19" t="str">
        <f t="shared" si="36"/>
        <v/>
      </c>
      <c r="M293" s="19" t="str">
        <f t="shared" si="37"/>
        <v/>
      </c>
      <c r="N293" s="20" t="str">
        <f t="shared" si="38"/>
        <v/>
      </c>
      <c r="O293" t="str">
        <f t="shared" si="39"/>
        <v/>
      </c>
    </row>
    <row r="294" spans="8:15" x14ac:dyDescent="0.3">
      <c r="H294" s="19" t="str">
        <f t="shared" si="32"/>
        <v/>
      </c>
      <c r="I294" s="19" t="str">
        <f t="shared" si="33"/>
        <v/>
      </c>
      <c r="J294" s="19" t="str">
        <f t="shared" si="34"/>
        <v/>
      </c>
      <c r="K294" s="19" t="str">
        <f t="shared" si="35"/>
        <v/>
      </c>
      <c r="L294" s="19" t="str">
        <f t="shared" si="36"/>
        <v/>
      </c>
      <c r="M294" s="19" t="str">
        <f t="shared" si="37"/>
        <v/>
      </c>
      <c r="N294" s="20" t="str">
        <f t="shared" si="38"/>
        <v/>
      </c>
      <c r="O294" t="str">
        <f t="shared" si="39"/>
        <v/>
      </c>
    </row>
    <row r="295" spans="8:15" x14ac:dyDescent="0.3">
      <c r="H295" s="19" t="str">
        <f t="shared" si="32"/>
        <v/>
      </c>
      <c r="I295" s="19" t="str">
        <f t="shared" si="33"/>
        <v/>
      </c>
      <c r="J295" s="19" t="str">
        <f t="shared" si="34"/>
        <v/>
      </c>
      <c r="K295" s="19" t="str">
        <f t="shared" si="35"/>
        <v/>
      </c>
      <c r="L295" s="19" t="str">
        <f t="shared" si="36"/>
        <v/>
      </c>
      <c r="M295" s="19" t="str">
        <f t="shared" si="37"/>
        <v/>
      </c>
      <c r="N295" s="20" t="str">
        <f t="shared" si="38"/>
        <v/>
      </c>
      <c r="O295" t="str">
        <f t="shared" si="39"/>
        <v/>
      </c>
    </row>
    <row r="296" spans="8:15" x14ac:dyDescent="0.3">
      <c r="H296" s="19" t="str">
        <f t="shared" si="32"/>
        <v/>
      </c>
      <c r="I296" s="19" t="str">
        <f t="shared" si="33"/>
        <v/>
      </c>
      <c r="J296" s="19" t="str">
        <f t="shared" si="34"/>
        <v/>
      </c>
      <c r="K296" s="19" t="str">
        <f t="shared" si="35"/>
        <v/>
      </c>
      <c r="L296" s="19" t="str">
        <f t="shared" si="36"/>
        <v/>
      </c>
      <c r="M296" s="19" t="str">
        <f t="shared" si="37"/>
        <v/>
      </c>
      <c r="N296" s="20" t="str">
        <f t="shared" si="38"/>
        <v/>
      </c>
      <c r="O296" t="str">
        <f t="shared" si="39"/>
        <v/>
      </c>
    </row>
    <row r="297" spans="8:15" x14ac:dyDescent="0.3">
      <c r="H297" s="19" t="str">
        <f t="shared" si="32"/>
        <v/>
      </c>
      <c r="I297" s="19" t="str">
        <f t="shared" si="33"/>
        <v/>
      </c>
      <c r="J297" s="19" t="str">
        <f t="shared" si="34"/>
        <v/>
      </c>
      <c r="K297" s="19" t="str">
        <f t="shared" si="35"/>
        <v/>
      </c>
      <c r="L297" s="19" t="str">
        <f t="shared" si="36"/>
        <v/>
      </c>
      <c r="M297" s="19" t="str">
        <f t="shared" si="37"/>
        <v/>
      </c>
      <c r="N297" s="20" t="str">
        <f t="shared" si="38"/>
        <v/>
      </c>
      <c r="O297" t="str">
        <f t="shared" si="39"/>
        <v/>
      </c>
    </row>
    <row r="298" spans="8:15" x14ac:dyDescent="0.3">
      <c r="H298" s="19" t="str">
        <f t="shared" si="32"/>
        <v/>
      </c>
      <c r="I298" s="19" t="str">
        <f t="shared" si="33"/>
        <v/>
      </c>
      <c r="J298" s="19" t="str">
        <f t="shared" si="34"/>
        <v/>
      </c>
      <c r="K298" s="19" t="str">
        <f t="shared" si="35"/>
        <v/>
      </c>
      <c r="L298" s="19" t="str">
        <f t="shared" si="36"/>
        <v/>
      </c>
      <c r="M298" s="19" t="str">
        <f t="shared" si="37"/>
        <v/>
      </c>
      <c r="N298" s="20" t="str">
        <f t="shared" si="38"/>
        <v/>
      </c>
      <c r="O298" t="str">
        <f t="shared" si="39"/>
        <v/>
      </c>
    </row>
    <row r="299" spans="8:15" x14ac:dyDescent="0.3">
      <c r="H299" s="19" t="str">
        <f t="shared" si="32"/>
        <v/>
      </c>
      <c r="I299" s="19" t="str">
        <f t="shared" si="33"/>
        <v/>
      </c>
      <c r="J299" s="19" t="str">
        <f t="shared" si="34"/>
        <v/>
      </c>
      <c r="K299" s="19" t="str">
        <f t="shared" si="35"/>
        <v/>
      </c>
      <c r="L299" s="19" t="str">
        <f t="shared" si="36"/>
        <v/>
      </c>
      <c r="M299" s="19" t="str">
        <f t="shared" si="37"/>
        <v/>
      </c>
      <c r="N299" s="20" t="str">
        <f t="shared" si="38"/>
        <v/>
      </c>
      <c r="O299" t="str">
        <f t="shared" si="39"/>
        <v/>
      </c>
    </row>
    <row r="300" spans="8:15" x14ac:dyDescent="0.3">
      <c r="H300" s="19" t="str">
        <f t="shared" si="32"/>
        <v/>
      </c>
      <c r="I300" s="19" t="str">
        <f t="shared" si="33"/>
        <v/>
      </c>
      <c r="J300" s="19" t="str">
        <f t="shared" si="34"/>
        <v/>
      </c>
      <c r="K300" s="19" t="str">
        <f t="shared" si="35"/>
        <v/>
      </c>
      <c r="L300" s="19" t="str">
        <f t="shared" si="36"/>
        <v/>
      </c>
      <c r="M300" s="19" t="str">
        <f t="shared" si="37"/>
        <v/>
      </c>
      <c r="N300" s="20" t="str">
        <f t="shared" si="38"/>
        <v/>
      </c>
      <c r="O300" t="str">
        <f t="shared" si="39"/>
        <v/>
      </c>
    </row>
    <row r="301" spans="8:15" x14ac:dyDescent="0.3">
      <c r="H301" s="19" t="str">
        <f t="shared" si="32"/>
        <v/>
      </c>
      <c r="I301" s="19" t="str">
        <f t="shared" si="33"/>
        <v/>
      </c>
      <c r="J301" s="19" t="str">
        <f t="shared" si="34"/>
        <v/>
      </c>
      <c r="K301" s="19" t="str">
        <f t="shared" si="35"/>
        <v/>
      </c>
      <c r="L301" s="19" t="str">
        <f t="shared" si="36"/>
        <v/>
      </c>
      <c r="M301" s="19" t="str">
        <f t="shared" si="37"/>
        <v/>
      </c>
      <c r="N301" s="20" t="str">
        <f t="shared" si="38"/>
        <v/>
      </c>
      <c r="O301" t="str">
        <f t="shared" si="39"/>
        <v/>
      </c>
    </row>
    <row r="302" spans="8:15" x14ac:dyDescent="0.3">
      <c r="H302" s="19" t="str">
        <f t="shared" si="32"/>
        <v/>
      </c>
      <c r="I302" s="19" t="str">
        <f t="shared" si="33"/>
        <v/>
      </c>
      <c r="J302" s="19" t="str">
        <f t="shared" si="34"/>
        <v/>
      </c>
      <c r="K302" s="19" t="str">
        <f t="shared" si="35"/>
        <v/>
      </c>
      <c r="L302" s="19" t="str">
        <f t="shared" si="36"/>
        <v/>
      </c>
      <c r="M302" s="19" t="str">
        <f t="shared" si="37"/>
        <v/>
      </c>
      <c r="N302" s="20" t="str">
        <f t="shared" si="38"/>
        <v/>
      </c>
      <c r="O302" t="str">
        <f t="shared" si="39"/>
        <v/>
      </c>
    </row>
    <row r="303" spans="8:15" x14ac:dyDescent="0.3">
      <c r="H303" s="19" t="str">
        <f t="shared" si="32"/>
        <v/>
      </c>
      <c r="I303" s="19" t="str">
        <f t="shared" si="33"/>
        <v/>
      </c>
      <c r="J303" s="19" t="str">
        <f t="shared" si="34"/>
        <v/>
      </c>
      <c r="K303" s="19" t="str">
        <f t="shared" si="35"/>
        <v/>
      </c>
      <c r="L303" s="19" t="str">
        <f t="shared" si="36"/>
        <v/>
      </c>
      <c r="M303" s="19" t="str">
        <f t="shared" si="37"/>
        <v/>
      </c>
      <c r="N303" s="20" t="str">
        <f t="shared" si="38"/>
        <v/>
      </c>
      <c r="O303" t="str">
        <f t="shared" si="39"/>
        <v/>
      </c>
    </row>
    <row r="304" spans="8:15" x14ac:dyDescent="0.3">
      <c r="H304" s="19" t="str">
        <f t="shared" si="32"/>
        <v/>
      </c>
      <c r="I304" s="19" t="str">
        <f t="shared" si="33"/>
        <v/>
      </c>
      <c r="J304" s="19" t="str">
        <f t="shared" si="34"/>
        <v/>
      </c>
      <c r="K304" s="19" t="str">
        <f t="shared" si="35"/>
        <v/>
      </c>
      <c r="L304" s="19" t="str">
        <f t="shared" si="36"/>
        <v/>
      </c>
      <c r="M304" s="19" t="str">
        <f t="shared" si="37"/>
        <v/>
      </c>
      <c r="N304" s="20" t="str">
        <f t="shared" si="38"/>
        <v/>
      </c>
      <c r="O304" t="str">
        <f t="shared" si="39"/>
        <v/>
      </c>
    </row>
    <row r="305" spans="8:15" x14ac:dyDescent="0.3">
      <c r="H305" s="19" t="str">
        <f t="shared" si="32"/>
        <v/>
      </c>
      <c r="I305" s="19" t="str">
        <f t="shared" si="33"/>
        <v/>
      </c>
      <c r="J305" s="19" t="str">
        <f t="shared" si="34"/>
        <v/>
      </c>
      <c r="K305" s="19" t="str">
        <f t="shared" si="35"/>
        <v/>
      </c>
      <c r="L305" s="19" t="str">
        <f t="shared" si="36"/>
        <v/>
      </c>
      <c r="M305" s="19" t="str">
        <f t="shared" si="37"/>
        <v/>
      </c>
      <c r="N305" s="20" t="str">
        <f t="shared" si="38"/>
        <v/>
      </c>
      <c r="O305" t="str">
        <f t="shared" si="39"/>
        <v/>
      </c>
    </row>
    <row r="306" spans="8:15" x14ac:dyDescent="0.3">
      <c r="H306" s="19" t="str">
        <f t="shared" si="32"/>
        <v/>
      </c>
      <c r="I306" s="19" t="str">
        <f t="shared" si="33"/>
        <v/>
      </c>
      <c r="J306" s="19" t="str">
        <f t="shared" si="34"/>
        <v/>
      </c>
      <c r="K306" s="19" t="str">
        <f t="shared" si="35"/>
        <v/>
      </c>
      <c r="L306" s="19" t="str">
        <f t="shared" si="36"/>
        <v/>
      </c>
      <c r="M306" s="19" t="str">
        <f t="shared" si="37"/>
        <v/>
      </c>
      <c r="N306" s="20" t="str">
        <f t="shared" si="38"/>
        <v/>
      </c>
      <c r="O306" t="str">
        <f t="shared" si="39"/>
        <v/>
      </c>
    </row>
    <row r="307" spans="8:15" x14ac:dyDescent="0.3">
      <c r="H307" s="19" t="str">
        <f t="shared" si="32"/>
        <v/>
      </c>
      <c r="I307" s="19" t="str">
        <f t="shared" si="33"/>
        <v/>
      </c>
      <c r="J307" s="19" t="str">
        <f t="shared" si="34"/>
        <v/>
      </c>
      <c r="K307" s="19" t="str">
        <f t="shared" si="35"/>
        <v/>
      </c>
      <c r="L307" s="19" t="str">
        <f t="shared" si="36"/>
        <v/>
      </c>
      <c r="M307" s="19" t="str">
        <f t="shared" si="37"/>
        <v/>
      </c>
      <c r="N307" s="20" t="str">
        <f t="shared" si="38"/>
        <v/>
      </c>
      <c r="O307" t="str">
        <f t="shared" si="39"/>
        <v/>
      </c>
    </row>
    <row r="308" spans="8:15" x14ac:dyDescent="0.3">
      <c r="H308" s="19" t="str">
        <f t="shared" si="32"/>
        <v/>
      </c>
      <c r="I308" s="19" t="str">
        <f t="shared" si="33"/>
        <v/>
      </c>
      <c r="J308" s="19" t="str">
        <f t="shared" si="34"/>
        <v/>
      </c>
      <c r="K308" s="19" t="str">
        <f t="shared" si="35"/>
        <v/>
      </c>
      <c r="L308" s="19" t="str">
        <f t="shared" si="36"/>
        <v/>
      </c>
      <c r="M308" s="19" t="str">
        <f t="shared" si="37"/>
        <v/>
      </c>
      <c r="N308" s="20" t="str">
        <f t="shared" si="38"/>
        <v/>
      </c>
      <c r="O308" t="str">
        <f t="shared" si="39"/>
        <v/>
      </c>
    </row>
    <row r="309" spans="8:15" x14ac:dyDescent="0.3">
      <c r="H309" s="19" t="str">
        <f t="shared" si="32"/>
        <v/>
      </c>
      <c r="I309" s="19" t="str">
        <f t="shared" si="33"/>
        <v/>
      </c>
      <c r="J309" s="19" t="str">
        <f t="shared" si="34"/>
        <v/>
      </c>
      <c r="K309" s="19" t="str">
        <f t="shared" si="35"/>
        <v/>
      </c>
      <c r="L309" s="19" t="str">
        <f t="shared" si="36"/>
        <v/>
      </c>
      <c r="M309" s="19" t="str">
        <f t="shared" si="37"/>
        <v/>
      </c>
      <c r="N309" s="20" t="str">
        <f t="shared" si="38"/>
        <v/>
      </c>
      <c r="O309" t="str">
        <f t="shared" si="39"/>
        <v/>
      </c>
    </row>
    <row r="310" spans="8:15" x14ac:dyDescent="0.3">
      <c r="H310" s="19" t="str">
        <f t="shared" si="32"/>
        <v/>
      </c>
      <c r="I310" s="19" t="str">
        <f t="shared" si="33"/>
        <v/>
      </c>
      <c r="J310" s="19" t="str">
        <f t="shared" si="34"/>
        <v/>
      </c>
      <c r="K310" s="19" t="str">
        <f t="shared" si="35"/>
        <v/>
      </c>
      <c r="L310" s="19" t="str">
        <f t="shared" si="36"/>
        <v/>
      </c>
      <c r="M310" s="19" t="str">
        <f t="shared" si="37"/>
        <v/>
      </c>
      <c r="N310" s="20" t="str">
        <f t="shared" si="38"/>
        <v/>
      </c>
      <c r="O310" t="str">
        <f t="shared" si="39"/>
        <v/>
      </c>
    </row>
    <row r="311" spans="8:15" x14ac:dyDescent="0.3">
      <c r="H311" s="19" t="str">
        <f t="shared" si="32"/>
        <v/>
      </c>
      <c r="I311" s="19" t="str">
        <f t="shared" si="33"/>
        <v/>
      </c>
      <c r="J311" s="19" t="str">
        <f t="shared" si="34"/>
        <v/>
      </c>
      <c r="K311" s="19" t="str">
        <f t="shared" si="35"/>
        <v/>
      </c>
      <c r="L311" s="19" t="str">
        <f t="shared" si="36"/>
        <v/>
      </c>
      <c r="M311" s="19" t="str">
        <f t="shared" si="37"/>
        <v/>
      </c>
      <c r="N311" s="20" t="str">
        <f t="shared" si="38"/>
        <v/>
      </c>
      <c r="O311" t="str">
        <f t="shared" si="39"/>
        <v/>
      </c>
    </row>
    <row r="312" spans="8:15" x14ac:dyDescent="0.3">
      <c r="H312" s="19" t="str">
        <f t="shared" si="32"/>
        <v/>
      </c>
      <c r="I312" s="19" t="str">
        <f t="shared" si="33"/>
        <v/>
      </c>
      <c r="J312" s="19" t="str">
        <f t="shared" si="34"/>
        <v/>
      </c>
      <c r="K312" s="19" t="str">
        <f t="shared" si="35"/>
        <v/>
      </c>
      <c r="L312" s="19" t="str">
        <f t="shared" si="36"/>
        <v/>
      </c>
      <c r="M312" s="19" t="str">
        <f t="shared" si="37"/>
        <v/>
      </c>
      <c r="N312" s="20" t="str">
        <f t="shared" si="38"/>
        <v/>
      </c>
      <c r="O312" t="str">
        <f t="shared" si="39"/>
        <v/>
      </c>
    </row>
    <row r="313" spans="8:15" x14ac:dyDescent="0.3">
      <c r="H313" s="19" t="str">
        <f t="shared" si="32"/>
        <v/>
      </c>
      <c r="I313" s="19" t="str">
        <f t="shared" si="33"/>
        <v/>
      </c>
      <c r="J313" s="19" t="str">
        <f t="shared" si="34"/>
        <v/>
      </c>
      <c r="K313" s="19" t="str">
        <f t="shared" si="35"/>
        <v/>
      </c>
      <c r="L313" s="19" t="str">
        <f t="shared" si="36"/>
        <v/>
      </c>
      <c r="M313" s="19" t="str">
        <f t="shared" si="37"/>
        <v/>
      </c>
      <c r="N313" s="20" t="str">
        <f t="shared" si="38"/>
        <v/>
      </c>
      <c r="O313" t="str">
        <f t="shared" si="39"/>
        <v/>
      </c>
    </row>
    <row r="314" spans="8:15" x14ac:dyDescent="0.3">
      <c r="H314" s="19" t="str">
        <f t="shared" si="32"/>
        <v/>
      </c>
      <c r="I314" s="19" t="str">
        <f t="shared" si="33"/>
        <v/>
      </c>
      <c r="J314" s="19" t="str">
        <f t="shared" si="34"/>
        <v/>
      </c>
      <c r="K314" s="19" t="str">
        <f t="shared" si="35"/>
        <v/>
      </c>
      <c r="L314" s="19" t="str">
        <f t="shared" si="36"/>
        <v/>
      </c>
      <c r="M314" s="19" t="str">
        <f t="shared" si="37"/>
        <v/>
      </c>
      <c r="N314" s="20" t="str">
        <f t="shared" si="38"/>
        <v/>
      </c>
      <c r="O314" t="str">
        <f t="shared" si="39"/>
        <v/>
      </c>
    </row>
    <row r="315" spans="8:15" x14ac:dyDescent="0.3">
      <c r="H315" s="19" t="str">
        <f t="shared" si="32"/>
        <v/>
      </c>
      <c r="I315" s="19" t="str">
        <f t="shared" si="33"/>
        <v/>
      </c>
      <c r="J315" s="19" t="str">
        <f t="shared" si="34"/>
        <v/>
      </c>
      <c r="K315" s="19" t="str">
        <f t="shared" si="35"/>
        <v/>
      </c>
      <c r="L315" s="19" t="str">
        <f t="shared" si="36"/>
        <v/>
      </c>
      <c r="M315" s="19" t="str">
        <f t="shared" si="37"/>
        <v/>
      </c>
      <c r="N315" s="20" t="str">
        <f t="shared" si="38"/>
        <v/>
      </c>
      <c r="O315" t="str">
        <f t="shared" si="39"/>
        <v/>
      </c>
    </row>
    <row r="316" spans="8:15" x14ac:dyDescent="0.3">
      <c r="H316" s="19" t="str">
        <f t="shared" si="32"/>
        <v/>
      </c>
      <c r="I316" s="19" t="str">
        <f t="shared" si="33"/>
        <v/>
      </c>
      <c r="J316" s="19" t="str">
        <f t="shared" si="34"/>
        <v/>
      </c>
      <c r="K316" s="19" t="str">
        <f t="shared" si="35"/>
        <v/>
      </c>
      <c r="L316" s="19" t="str">
        <f t="shared" si="36"/>
        <v/>
      </c>
      <c r="M316" s="19" t="str">
        <f t="shared" si="37"/>
        <v/>
      </c>
      <c r="N316" s="20" t="str">
        <f t="shared" si="38"/>
        <v/>
      </c>
      <c r="O316" t="str">
        <f t="shared" si="39"/>
        <v/>
      </c>
    </row>
    <row r="317" spans="8:15" x14ac:dyDescent="0.3">
      <c r="H317" s="19" t="str">
        <f t="shared" si="32"/>
        <v/>
      </c>
      <c r="I317" s="19" t="str">
        <f t="shared" si="33"/>
        <v/>
      </c>
      <c r="J317" s="19" t="str">
        <f t="shared" si="34"/>
        <v/>
      </c>
      <c r="K317" s="19" t="str">
        <f t="shared" si="35"/>
        <v/>
      </c>
      <c r="L317" s="19" t="str">
        <f t="shared" si="36"/>
        <v/>
      </c>
      <c r="M317" s="19" t="str">
        <f t="shared" si="37"/>
        <v/>
      </c>
      <c r="N317" s="20" t="str">
        <f t="shared" si="38"/>
        <v/>
      </c>
      <c r="O317" t="str">
        <f t="shared" si="39"/>
        <v/>
      </c>
    </row>
    <row r="318" spans="8:15" x14ac:dyDescent="0.3">
      <c r="H318" s="19" t="str">
        <f t="shared" si="32"/>
        <v/>
      </c>
      <c r="I318" s="19" t="str">
        <f t="shared" si="33"/>
        <v/>
      </c>
      <c r="J318" s="19" t="str">
        <f t="shared" si="34"/>
        <v/>
      </c>
      <c r="K318" s="19" t="str">
        <f t="shared" si="35"/>
        <v/>
      </c>
      <c r="L318" s="19" t="str">
        <f t="shared" si="36"/>
        <v/>
      </c>
      <c r="M318" s="19" t="str">
        <f t="shared" si="37"/>
        <v/>
      </c>
      <c r="N318" s="20" t="str">
        <f t="shared" si="38"/>
        <v/>
      </c>
      <c r="O318" t="str">
        <f t="shared" si="39"/>
        <v/>
      </c>
    </row>
    <row r="319" spans="8:15" x14ac:dyDescent="0.3">
      <c r="H319" s="19" t="str">
        <f t="shared" si="32"/>
        <v/>
      </c>
      <c r="I319" s="19" t="str">
        <f t="shared" si="33"/>
        <v/>
      </c>
      <c r="J319" s="19" t="str">
        <f t="shared" si="34"/>
        <v/>
      </c>
      <c r="K319" s="19" t="str">
        <f t="shared" si="35"/>
        <v/>
      </c>
      <c r="L319" s="19" t="str">
        <f t="shared" si="36"/>
        <v/>
      </c>
      <c r="M319" s="19" t="str">
        <f t="shared" si="37"/>
        <v/>
      </c>
      <c r="N319" s="20" t="str">
        <f t="shared" si="38"/>
        <v/>
      </c>
      <c r="O319" t="str">
        <f t="shared" si="39"/>
        <v/>
      </c>
    </row>
    <row r="320" spans="8:15" x14ac:dyDescent="0.3">
      <c r="H320" s="19" t="str">
        <f t="shared" si="32"/>
        <v/>
      </c>
      <c r="I320" s="19" t="str">
        <f t="shared" si="33"/>
        <v/>
      </c>
      <c r="J320" s="19" t="str">
        <f t="shared" si="34"/>
        <v/>
      </c>
      <c r="K320" s="19" t="str">
        <f t="shared" si="35"/>
        <v/>
      </c>
      <c r="L320" s="19" t="str">
        <f t="shared" si="36"/>
        <v/>
      </c>
      <c r="M320" s="19" t="str">
        <f t="shared" si="37"/>
        <v/>
      </c>
      <c r="N320" s="20" t="str">
        <f t="shared" si="38"/>
        <v/>
      </c>
      <c r="O320" t="str">
        <f t="shared" si="39"/>
        <v/>
      </c>
    </row>
    <row r="321" spans="8:15" x14ac:dyDescent="0.3">
      <c r="H321" s="19" t="str">
        <f t="shared" si="32"/>
        <v/>
      </c>
      <c r="I321" s="19" t="str">
        <f t="shared" si="33"/>
        <v/>
      </c>
      <c r="J321" s="19" t="str">
        <f t="shared" si="34"/>
        <v/>
      </c>
      <c r="K321" s="19" t="str">
        <f t="shared" si="35"/>
        <v/>
      </c>
      <c r="L321" s="19" t="str">
        <f t="shared" si="36"/>
        <v/>
      </c>
      <c r="M321" s="19" t="str">
        <f t="shared" si="37"/>
        <v/>
      </c>
      <c r="N321" s="20" t="str">
        <f t="shared" si="38"/>
        <v/>
      </c>
      <c r="O321" t="str">
        <f t="shared" si="39"/>
        <v/>
      </c>
    </row>
    <row r="322" spans="8:15" x14ac:dyDescent="0.3">
      <c r="H322" s="19" t="str">
        <f t="shared" si="32"/>
        <v/>
      </c>
      <c r="I322" s="19" t="str">
        <f t="shared" si="33"/>
        <v/>
      </c>
      <c r="J322" s="19" t="str">
        <f t="shared" si="34"/>
        <v/>
      </c>
      <c r="K322" s="19" t="str">
        <f t="shared" si="35"/>
        <v/>
      </c>
      <c r="L322" s="19" t="str">
        <f t="shared" si="36"/>
        <v/>
      </c>
      <c r="M322" s="19" t="str">
        <f t="shared" si="37"/>
        <v/>
      </c>
      <c r="N322" s="20" t="str">
        <f t="shared" si="38"/>
        <v/>
      </c>
      <c r="O322" t="str">
        <f t="shared" si="39"/>
        <v/>
      </c>
    </row>
    <row r="323" spans="8:15" x14ac:dyDescent="0.3">
      <c r="H323" s="19" t="str">
        <f t="shared" ref="H323:H386" si="40">IF(AND(B323&lt;&gt;"",D323&lt;&gt;""),D323/1.6021766341/B323,"")</f>
        <v/>
      </c>
      <c r="I323" s="19" t="str">
        <f t="shared" ref="I323:I386" si="41">IF(AND(B323&lt;&gt;"",D323&lt;&gt;"",C323&lt;&gt;""),D323*C323^2*0.000001,"")</f>
        <v/>
      </c>
      <c r="J323" s="19" t="str">
        <f t="shared" ref="J323:J386" si="42">IF(AND(A323&lt;&gt;"",B323&lt;&gt;"",C323&lt;&gt;""),(B323/2.509412225*(EXP(C323/86.17333262-2)-1.075*EXP(-2)))^(2/3)*300/A323,"")</f>
        <v/>
      </c>
      <c r="K323" s="19" t="str">
        <f t="shared" ref="K323:K386" si="43">IF(J323&lt;&gt;"",H323*(1+(J323*A323/300)^(-3/2)*B323/(2*2.509412225))^(1/3),"")</f>
        <v/>
      </c>
      <c r="L323" s="19" t="str">
        <f t="shared" ref="L323:L386" si="44">IF(AND(A323&lt;&gt;"",M323&lt;&gt;""),M323*(300/A323)^(3/2),"")</f>
        <v/>
      </c>
      <c r="M323" s="19" t="str">
        <f t="shared" ref="M323:M386" si="45">IF(AND(C323&lt;&gt;"",D323&lt;&gt;""),D323/4.02052163221989*(EXP(C323/86.17333262-2)-1.075*EXP(-2))*(1+0.5/(EXP(C323/86.17333262-2)-1.075*EXP(-2)))^(1/3),"")</f>
        <v/>
      </c>
      <c r="N323" s="20" t="str">
        <f t="shared" ref="N323:N386" si="46">IF(M323&lt;&gt;"",0.12122458*M323,"")</f>
        <v/>
      </c>
      <c r="O323" t="str">
        <f t="shared" ref="O323:O386" si="47">IF(AND(B323&lt;&gt;"",C323&lt;&gt;""),1.255*B323*(EXP(C323/86.17333262-2)-1.075*EXP(-2)),"")</f>
        <v/>
      </c>
    </row>
    <row r="324" spans="8:15" x14ac:dyDescent="0.3">
      <c r="H324" s="19" t="str">
        <f t="shared" si="40"/>
        <v/>
      </c>
      <c r="I324" s="19" t="str">
        <f t="shared" si="41"/>
        <v/>
      </c>
      <c r="J324" s="19" t="str">
        <f t="shared" si="42"/>
        <v/>
      </c>
      <c r="K324" s="19" t="str">
        <f t="shared" si="43"/>
        <v/>
      </c>
      <c r="L324" s="19" t="str">
        <f t="shared" si="44"/>
        <v/>
      </c>
      <c r="M324" s="19" t="str">
        <f t="shared" si="45"/>
        <v/>
      </c>
      <c r="N324" s="20" t="str">
        <f t="shared" si="46"/>
        <v/>
      </c>
      <c r="O324" t="str">
        <f t="shared" si="47"/>
        <v/>
      </c>
    </row>
    <row r="325" spans="8:15" x14ac:dyDescent="0.3">
      <c r="H325" s="19" t="str">
        <f t="shared" si="40"/>
        <v/>
      </c>
      <c r="I325" s="19" t="str">
        <f t="shared" si="41"/>
        <v/>
      </c>
      <c r="J325" s="19" t="str">
        <f t="shared" si="42"/>
        <v/>
      </c>
      <c r="K325" s="19" t="str">
        <f t="shared" si="43"/>
        <v/>
      </c>
      <c r="L325" s="19" t="str">
        <f t="shared" si="44"/>
        <v/>
      </c>
      <c r="M325" s="19" t="str">
        <f t="shared" si="45"/>
        <v/>
      </c>
      <c r="N325" s="20" t="str">
        <f t="shared" si="46"/>
        <v/>
      </c>
      <c r="O325" t="str">
        <f t="shared" si="47"/>
        <v/>
      </c>
    </row>
    <row r="326" spans="8:15" x14ac:dyDescent="0.3">
      <c r="H326" s="19" t="str">
        <f t="shared" si="40"/>
        <v/>
      </c>
      <c r="I326" s="19" t="str">
        <f t="shared" si="41"/>
        <v/>
      </c>
      <c r="J326" s="19" t="str">
        <f t="shared" si="42"/>
        <v/>
      </c>
      <c r="K326" s="19" t="str">
        <f t="shared" si="43"/>
        <v/>
      </c>
      <c r="L326" s="19" t="str">
        <f t="shared" si="44"/>
        <v/>
      </c>
      <c r="M326" s="19" t="str">
        <f t="shared" si="45"/>
        <v/>
      </c>
      <c r="N326" s="20" t="str">
        <f t="shared" si="46"/>
        <v/>
      </c>
      <c r="O326" t="str">
        <f t="shared" si="47"/>
        <v/>
      </c>
    </row>
    <row r="327" spans="8:15" x14ac:dyDescent="0.3">
      <c r="H327" s="19" t="str">
        <f t="shared" si="40"/>
        <v/>
      </c>
      <c r="I327" s="19" t="str">
        <f t="shared" si="41"/>
        <v/>
      </c>
      <c r="J327" s="19" t="str">
        <f t="shared" si="42"/>
        <v/>
      </c>
      <c r="K327" s="19" t="str">
        <f t="shared" si="43"/>
        <v/>
      </c>
      <c r="L327" s="19" t="str">
        <f t="shared" si="44"/>
        <v/>
      </c>
      <c r="M327" s="19" t="str">
        <f t="shared" si="45"/>
        <v/>
      </c>
      <c r="N327" s="20" t="str">
        <f t="shared" si="46"/>
        <v/>
      </c>
      <c r="O327" t="str">
        <f t="shared" si="47"/>
        <v/>
      </c>
    </row>
    <row r="328" spans="8:15" x14ac:dyDescent="0.3">
      <c r="H328" s="19" t="str">
        <f t="shared" si="40"/>
        <v/>
      </c>
      <c r="I328" s="19" t="str">
        <f t="shared" si="41"/>
        <v/>
      </c>
      <c r="J328" s="19" t="str">
        <f t="shared" si="42"/>
        <v/>
      </c>
      <c r="K328" s="19" t="str">
        <f t="shared" si="43"/>
        <v/>
      </c>
      <c r="L328" s="19" t="str">
        <f t="shared" si="44"/>
        <v/>
      </c>
      <c r="M328" s="19" t="str">
        <f t="shared" si="45"/>
        <v/>
      </c>
      <c r="N328" s="20" t="str">
        <f t="shared" si="46"/>
        <v/>
      </c>
      <c r="O328" t="str">
        <f t="shared" si="47"/>
        <v/>
      </c>
    </row>
    <row r="329" spans="8:15" x14ac:dyDescent="0.3">
      <c r="H329" s="19" t="str">
        <f t="shared" si="40"/>
        <v/>
      </c>
      <c r="I329" s="19" t="str">
        <f t="shared" si="41"/>
        <v/>
      </c>
      <c r="J329" s="19" t="str">
        <f t="shared" si="42"/>
        <v/>
      </c>
      <c r="K329" s="19" t="str">
        <f t="shared" si="43"/>
        <v/>
      </c>
      <c r="L329" s="19" t="str">
        <f t="shared" si="44"/>
        <v/>
      </c>
      <c r="M329" s="19" t="str">
        <f t="shared" si="45"/>
        <v/>
      </c>
      <c r="N329" s="20" t="str">
        <f t="shared" si="46"/>
        <v/>
      </c>
      <c r="O329" t="str">
        <f t="shared" si="47"/>
        <v/>
      </c>
    </row>
    <row r="330" spans="8:15" x14ac:dyDescent="0.3">
      <c r="H330" s="19" t="str">
        <f t="shared" si="40"/>
        <v/>
      </c>
      <c r="I330" s="19" t="str">
        <f t="shared" si="41"/>
        <v/>
      </c>
      <c r="J330" s="19" t="str">
        <f t="shared" si="42"/>
        <v/>
      </c>
      <c r="K330" s="19" t="str">
        <f t="shared" si="43"/>
        <v/>
      </c>
      <c r="L330" s="19" t="str">
        <f t="shared" si="44"/>
        <v/>
      </c>
      <c r="M330" s="19" t="str">
        <f t="shared" si="45"/>
        <v/>
      </c>
      <c r="N330" s="20" t="str">
        <f t="shared" si="46"/>
        <v/>
      </c>
      <c r="O330" t="str">
        <f t="shared" si="47"/>
        <v/>
      </c>
    </row>
    <row r="331" spans="8:15" x14ac:dyDescent="0.3">
      <c r="H331" s="19" t="str">
        <f t="shared" si="40"/>
        <v/>
      </c>
      <c r="I331" s="19" t="str">
        <f t="shared" si="41"/>
        <v/>
      </c>
      <c r="J331" s="19" t="str">
        <f t="shared" si="42"/>
        <v/>
      </c>
      <c r="K331" s="19" t="str">
        <f t="shared" si="43"/>
        <v/>
      </c>
      <c r="L331" s="19" t="str">
        <f t="shared" si="44"/>
        <v/>
      </c>
      <c r="M331" s="19" t="str">
        <f t="shared" si="45"/>
        <v/>
      </c>
      <c r="N331" s="20" t="str">
        <f t="shared" si="46"/>
        <v/>
      </c>
      <c r="O331" t="str">
        <f t="shared" si="47"/>
        <v/>
      </c>
    </row>
    <row r="332" spans="8:15" x14ac:dyDescent="0.3">
      <c r="H332" s="19" t="str">
        <f t="shared" si="40"/>
        <v/>
      </c>
      <c r="I332" s="19" t="str">
        <f t="shared" si="41"/>
        <v/>
      </c>
      <c r="J332" s="19" t="str">
        <f t="shared" si="42"/>
        <v/>
      </c>
      <c r="K332" s="19" t="str">
        <f t="shared" si="43"/>
        <v/>
      </c>
      <c r="L332" s="19" t="str">
        <f t="shared" si="44"/>
        <v/>
      </c>
      <c r="M332" s="19" t="str">
        <f t="shared" si="45"/>
        <v/>
      </c>
      <c r="N332" s="20" t="str">
        <f t="shared" si="46"/>
        <v/>
      </c>
      <c r="O332" t="str">
        <f t="shared" si="47"/>
        <v/>
      </c>
    </row>
    <row r="333" spans="8:15" x14ac:dyDescent="0.3">
      <c r="H333" s="19" t="str">
        <f t="shared" si="40"/>
        <v/>
      </c>
      <c r="I333" s="19" t="str">
        <f t="shared" si="41"/>
        <v/>
      </c>
      <c r="J333" s="19" t="str">
        <f t="shared" si="42"/>
        <v/>
      </c>
      <c r="K333" s="19" t="str">
        <f t="shared" si="43"/>
        <v/>
      </c>
      <c r="L333" s="19" t="str">
        <f t="shared" si="44"/>
        <v/>
      </c>
      <c r="M333" s="19" t="str">
        <f t="shared" si="45"/>
        <v/>
      </c>
      <c r="N333" s="20" t="str">
        <f t="shared" si="46"/>
        <v/>
      </c>
      <c r="O333" t="str">
        <f t="shared" si="47"/>
        <v/>
      </c>
    </row>
    <row r="334" spans="8:15" x14ac:dyDescent="0.3">
      <c r="H334" s="19" t="str">
        <f t="shared" si="40"/>
        <v/>
      </c>
      <c r="I334" s="19" t="str">
        <f t="shared" si="41"/>
        <v/>
      </c>
      <c r="J334" s="19" t="str">
        <f t="shared" si="42"/>
        <v/>
      </c>
      <c r="K334" s="19" t="str">
        <f t="shared" si="43"/>
        <v/>
      </c>
      <c r="L334" s="19" t="str">
        <f t="shared" si="44"/>
        <v/>
      </c>
      <c r="M334" s="19" t="str">
        <f t="shared" si="45"/>
        <v/>
      </c>
      <c r="N334" s="20" t="str">
        <f t="shared" si="46"/>
        <v/>
      </c>
      <c r="O334" t="str">
        <f t="shared" si="47"/>
        <v/>
      </c>
    </row>
    <row r="335" spans="8:15" x14ac:dyDescent="0.3">
      <c r="H335" s="19" t="str">
        <f t="shared" si="40"/>
        <v/>
      </c>
      <c r="I335" s="19" t="str">
        <f t="shared" si="41"/>
        <v/>
      </c>
      <c r="J335" s="19" t="str">
        <f t="shared" si="42"/>
        <v/>
      </c>
      <c r="K335" s="19" t="str">
        <f t="shared" si="43"/>
        <v/>
      </c>
      <c r="L335" s="19" t="str">
        <f t="shared" si="44"/>
        <v/>
      </c>
      <c r="M335" s="19" t="str">
        <f t="shared" si="45"/>
        <v/>
      </c>
      <c r="N335" s="20" t="str">
        <f t="shared" si="46"/>
        <v/>
      </c>
      <c r="O335" t="str">
        <f t="shared" si="47"/>
        <v/>
      </c>
    </row>
    <row r="336" spans="8:15" x14ac:dyDescent="0.3">
      <c r="H336" s="19" t="str">
        <f t="shared" si="40"/>
        <v/>
      </c>
      <c r="I336" s="19" t="str">
        <f t="shared" si="41"/>
        <v/>
      </c>
      <c r="J336" s="19" t="str">
        <f t="shared" si="42"/>
        <v/>
      </c>
      <c r="K336" s="19" t="str">
        <f t="shared" si="43"/>
        <v/>
      </c>
      <c r="L336" s="19" t="str">
        <f t="shared" si="44"/>
        <v/>
      </c>
      <c r="M336" s="19" t="str">
        <f t="shared" si="45"/>
        <v/>
      </c>
      <c r="N336" s="20" t="str">
        <f t="shared" si="46"/>
        <v/>
      </c>
      <c r="O336" t="str">
        <f t="shared" si="47"/>
        <v/>
      </c>
    </row>
    <row r="337" spans="8:15" x14ac:dyDescent="0.3">
      <c r="H337" s="19" t="str">
        <f t="shared" si="40"/>
        <v/>
      </c>
      <c r="I337" s="19" t="str">
        <f t="shared" si="41"/>
        <v/>
      </c>
      <c r="J337" s="19" t="str">
        <f t="shared" si="42"/>
        <v/>
      </c>
      <c r="K337" s="19" t="str">
        <f t="shared" si="43"/>
        <v/>
      </c>
      <c r="L337" s="19" t="str">
        <f t="shared" si="44"/>
        <v/>
      </c>
      <c r="M337" s="19" t="str">
        <f t="shared" si="45"/>
        <v/>
      </c>
      <c r="N337" s="20" t="str">
        <f t="shared" si="46"/>
        <v/>
      </c>
      <c r="O337" t="str">
        <f t="shared" si="47"/>
        <v/>
      </c>
    </row>
    <row r="338" spans="8:15" x14ac:dyDescent="0.3">
      <c r="H338" s="19" t="str">
        <f t="shared" si="40"/>
        <v/>
      </c>
      <c r="I338" s="19" t="str">
        <f t="shared" si="41"/>
        <v/>
      </c>
      <c r="J338" s="19" t="str">
        <f t="shared" si="42"/>
        <v/>
      </c>
      <c r="K338" s="19" t="str">
        <f t="shared" si="43"/>
        <v/>
      </c>
      <c r="L338" s="19" t="str">
        <f t="shared" si="44"/>
        <v/>
      </c>
      <c r="M338" s="19" t="str">
        <f t="shared" si="45"/>
        <v/>
      </c>
      <c r="N338" s="20" t="str">
        <f t="shared" si="46"/>
        <v/>
      </c>
      <c r="O338" t="str">
        <f t="shared" si="47"/>
        <v/>
      </c>
    </row>
    <row r="339" spans="8:15" x14ac:dyDescent="0.3">
      <c r="H339" s="19" t="str">
        <f t="shared" si="40"/>
        <v/>
      </c>
      <c r="I339" s="19" t="str">
        <f t="shared" si="41"/>
        <v/>
      </c>
      <c r="J339" s="19" t="str">
        <f t="shared" si="42"/>
        <v/>
      </c>
      <c r="K339" s="19" t="str">
        <f t="shared" si="43"/>
        <v/>
      </c>
      <c r="L339" s="19" t="str">
        <f t="shared" si="44"/>
        <v/>
      </c>
      <c r="M339" s="19" t="str">
        <f t="shared" si="45"/>
        <v/>
      </c>
      <c r="N339" s="20" t="str">
        <f t="shared" si="46"/>
        <v/>
      </c>
      <c r="O339" t="str">
        <f t="shared" si="47"/>
        <v/>
      </c>
    </row>
    <row r="340" spans="8:15" x14ac:dyDescent="0.3">
      <c r="H340" s="19" t="str">
        <f t="shared" si="40"/>
        <v/>
      </c>
      <c r="I340" s="19" t="str">
        <f t="shared" si="41"/>
        <v/>
      </c>
      <c r="J340" s="19" t="str">
        <f t="shared" si="42"/>
        <v/>
      </c>
      <c r="K340" s="19" t="str">
        <f t="shared" si="43"/>
        <v/>
      </c>
      <c r="L340" s="19" t="str">
        <f t="shared" si="44"/>
        <v/>
      </c>
      <c r="M340" s="19" t="str">
        <f t="shared" si="45"/>
        <v/>
      </c>
      <c r="N340" s="20" t="str">
        <f t="shared" si="46"/>
        <v/>
      </c>
      <c r="O340" t="str">
        <f t="shared" si="47"/>
        <v/>
      </c>
    </row>
    <row r="341" spans="8:15" x14ac:dyDescent="0.3">
      <c r="H341" s="19" t="str">
        <f t="shared" si="40"/>
        <v/>
      </c>
      <c r="I341" s="19" t="str">
        <f t="shared" si="41"/>
        <v/>
      </c>
      <c r="J341" s="19" t="str">
        <f t="shared" si="42"/>
        <v/>
      </c>
      <c r="K341" s="19" t="str">
        <f t="shared" si="43"/>
        <v/>
      </c>
      <c r="L341" s="19" t="str">
        <f t="shared" si="44"/>
        <v/>
      </c>
      <c r="M341" s="19" t="str">
        <f t="shared" si="45"/>
        <v/>
      </c>
      <c r="N341" s="20" t="str">
        <f t="shared" si="46"/>
        <v/>
      </c>
      <c r="O341" t="str">
        <f t="shared" si="47"/>
        <v/>
      </c>
    </row>
    <row r="342" spans="8:15" x14ac:dyDescent="0.3">
      <c r="H342" s="19" t="str">
        <f t="shared" si="40"/>
        <v/>
      </c>
      <c r="I342" s="19" t="str">
        <f t="shared" si="41"/>
        <v/>
      </c>
      <c r="J342" s="19" t="str">
        <f t="shared" si="42"/>
        <v/>
      </c>
      <c r="K342" s="19" t="str">
        <f t="shared" si="43"/>
        <v/>
      </c>
      <c r="L342" s="19" t="str">
        <f t="shared" si="44"/>
        <v/>
      </c>
      <c r="M342" s="19" t="str">
        <f t="shared" si="45"/>
        <v/>
      </c>
      <c r="N342" s="20" t="str">
        <f t="shared" si="46"/>
        <v/>
      </c>
      <c r="O342" t="str">
        <f t="shared" si="47"/>
        <v/>
      </c>
    </row>
    <row r="343" spans="8:15" x14ac:dyDescent="0.3">
      <c r="H343" s="19" t="str">
        <f t="shared" si="40"/>
        <v/>
      </c>
      <c r="I343" s="19" t="str">
        <f t="shared" si="41"/>
        <v/>
      </c>
      <c r="J343" s="19" t="str">
        <f t="shared" si="42"/>
        <v/>
      </c>
      <c r="K343" s="19" t="str">
        <f t="shared" si="43"/>
        <v/>
      </c>
      <c r="L343" s="19" t="str">
        <f t="shared" si="44"/>
        <v/>
      </c>
      <c r="M343" s="19" t="str">
        <f t="shared" si="45"/>
        <v/>
      </c>
      <c r="N343" s="20" t="str">
        <f t="shared" si="46"/>
        <v/>
      </c>
      <c r="O343" t="str">
        <f t="shared" si="47"/>
        <v/>
      </c>
    </row>
    <row r="344" spans="8:15" x14ac:dyDescent="0.3">
      <c r="H344" s="19" t="str">
        <f t="shared" si="40"/>
        <v/>
      </c>
      <c r="I344" s="19" t="str">
        <f t="shared" si="41"/>
        <v/>
      </c>
      <c r="J344" s="19" t="str">
        <f t="shared" si="42"/>
        <v/>
      </c>
      <c r="K344" s="19" t="str">
        <f t="shared" si="43"/>
        <v/>
      </c>
      <c r="L344" s="19" t="str">
        <f t="shared" si="44"/>
        <v/>
      </c>
      <c r="M344" s="19" t="str">
        <f t="shared" si="45"/>
        <v/>
      </c>
      <c r="N344" s="20" t="str">
        <f t="shared" si="46"/>
        <v/>
      </c>
      <c r="O344" t="str">
        <f t="shared" si="47"/>
        <v/>
      </c>
    </row>
    <row r="345" spans="8:15" x14ac:dyDescent="0.3">
      <c r="H345" s="19" t="str">
        <f t="shared" si="40"/>
        <v/>
      </c>
      <c r="I345" s="19" t="str">
        <f t="shared" si="41"/>
        <v/>
      </c>
      <c r="J345" s="19" t="str">
        <f t="shared" si="42"/>
        <v/>
      </c>
      <c r="K345" s="19" t="str">
        <f t="shared" si="43"/>
        <v/>
      </c>
      <c r="L345" s="19" t="str">
        <f t="shared" si="44"/>
        <v/>
      </c>
      <c r="M345" s="19" t="str">
        <f t="shared" si="45"/>
        <v/>
      </c>
      <c r="N345" s="20" t="str">
        <f t="shared" si="46"/>
        <v/>
      </c>
      <c r="O345" t="str">
        <f t="shared" si="47"/>
        <v/>
      </c>
    </row>
    <row r="346" spans="8:15" x14ac:dyDescent="0.3">
      <c r="H346" s="19" t="str">
        <f t="shared" si="40"/>
        <v/>
      </c>
      <c r="I346" s="19" t="str">
        <f t="shared" si="41"/>
        <v/>
      </c>
      <c r="J346" s="19" t="str">
        <f t="shared" si="42"/>
        <v/>
      </c>
      <c r="K346" s="19" t="str">
        <f t="shared" si="43"/>
        <v/>
      </c>
      <c r="L346" s="19" t="str">
        <f t="shared" si="44"/>
        <v/>
      </c>
      <c r="M346" s="19" t="str">
        <f t="shared" si="45"/>
        <v/>
      </c>
      <c r="N346" s="20" t="str">
        <f t="shared" si="46"/>
        <v/>
      </c>
      <c r="O346" t="str">
        <f t="shared" si="47"/>
        <v/>
      </c>
    </row>
    <row r="347" spans="8:15" x14ac:dyDescent="0.3">
      <c r="H347" s="19" t="str">
        <f t="shared" si="40"/>
        <v/>
      </c>
      <c r="I347" s="19" t="str">
        <f t="shared" si="41"/>
        <v/>
      </c>
      <c r="J347" s="19" t="str">
        <f t="shared" si="42"/>
        <v/>
      </c>
      <c r="K347" s="19" t="str">
        <f t="shared" si="43"/>
        <v/>
      </c>
      <c r="L347" s="19" t="str">
        <f t="shared" si="44"/>
        <v/>
      </c>
      <c r="M347" s="19" t="str">
        <f t="shared" si="45"/>
        <v/>
      </c>
      <c r="N347" s="20" t="str">
        <f t="shared" si="46"/>
        <v/>
      </c>
      <c r="O347" t="str">
        <f t="shared" si="47"/>
        <v/>
      </c>
    </row>
    <row r="348" spans="8:15" x14ac:dyDescent="0.3">
      <c r="H348" s="19" t="str">
        <f t="shared" si="40"/>
        <v/>
      </c>
      <c r="I348" s="19" t="str">
        <f t="shared" si="41"/>
        <v/>
      </c>
      <c r="J348" s="19" t="str">
        <f t="shared" si="42"/>
        <v/>
      </c>
      <c r="K348" s="19" t="str">
        <f t="shared" si="43"/>
        <v/>
      </c>
      <c r="L348" s="19" t="str">
        <f t="shared" si="44"/>
        <v/>
      </c>
      <c r="M348" s="19" t="str">
        <f t="shared" si="45"/>
        <v/>
      </c>
      <c r="N348" s="20" t="str">
        <f t="shared" si="46"/>
        <v/>
      </c>
      <c r="O348" t="str">
        <f t="shared" si="47"/>
        <v/>
      </c>
    </row>
    <row r="349" spans="8:15" x14ac:dyDescent="0.3">
      <c r="H349" s="19" t="str">
        <f t="shared" si="40"/>
        <v/>
      </c>
      <c r="I349" s="19" t="str">
        <f t="shared" si="41"/>
        <v/>
      </c>
      <c r="J349" s="19" t="str">
        <f t="shared" si="42"/>
        <v/>
      </c>
      <c r="K349" s="19" t="str">
        <f t="shared" si="43"/>
        <v/>
      </c>
      <c r="L349" s="19" t="str">
        <f t="shared" si="44"/>
        <v/>
      </c>
      <c r="M349" s="19" t="str">
        <f t="shared" si="45"/>
        <v/>
      </c>
      <c r="N349" s="20" t="str">
        <f t="shared" si="46"/>
        <v/>
      </c>
      <c r="O349" t="str">
        <f t="shared" si="47"/>
        <v/>
      </c>
    </row>
    <row r="350" spans="8:15" x14ac:dyDescent="0.3">
      <c r="H350" s="19" t="str">
        <f t="shared" si="40"/>
        <v/>
      </c>
      <c r="I350" s="19" t="str">
        <f t="shared" si="41"/>
        <v/>
      </c>
      <c r="J350" s="19" t="str">
        <f t="shared" si="42"/>
        <v/>
      </c>
      <c r="K350" s="19" t="str">
        <f t="shared" si="43"/>
        <v/>
      </c>
      <c r="L350" s="19" t="str">
        <f t="shared" si="44"/>
        <v/>
      </c>
      <c r="M350" s="19" t="str">
        <f t="shared" si="45"/>
        <v/>
      </c>
      <c r="N350" s="20" t="str">
        <f t="shared" si="46"/>
        <v/>
      </c>
      <c r="O350" t="str">
        <f t="shared" si="47"/>
        <v/>
      </c>
    </row>
    <row r="351" spans="8:15" x14ac:dyDescent="0.3">
      <c r="H351" s="19" t="str">
        <f t="shared" si="40"/>
        <v/>
      </c>
      <c r="I351" s="19" t="str">
        <f t="shared" si="41"/>
        <v/>
      </c>
      <c r="J351" s="19" t="str">
        <f t="shared" si="42"/>
        <v/>
      </c>
      <c r="K351" s="19" t="str">
        <f t="shared" si="43"/>
        <v/>
      </c>
      <c r="L351" s="19" t="str">
        <f t="shared" si="44"/>
        <v/>
      </c>
      <c r="M351" s="19" t="str">
        <f t="shared" si="45"/>
        <v/>
      </c>
      <c r="N351" s="20" t="str">
        <f t="shared" si="46"/>
        <v/>
      </c>
      <c r="O351" t="str">
        <f t="shared" si="47"/>
        <v/>
      </c>
    </row>
    <row r="352" spans="8:15" x14ac:dyDescent="0.3">
      <c r="H352" s="19" t="str">
        <f t="shared" si="40"/>
        <v/>
      </c>
      <c r="I352" s="19" t="str">
        <f t="shared" si="41"/>
        <v/>
      </c>
      <c r="J352" s="19" t="str">
        <f t="shared" si="42"/>
        <v/>
      </c>
      <c r="K352" s="19" t="str">
        <f t="shared" si="43"/>
        <v/>
      </c>
      <c r="L352" s="19" t="str">
        <f t="shared" si="44"/>
        <v/>
      </c>
      <c r="M352" s="19" t="str">
        <f t="shared" si="45"/>
        <v/>
      </c>
      <c r="N352" s="20" t="str">
        <f t="shared" si="46"/>
        <v/>
      </c>
      <c r="O352" t="str">
        <f t="shared" si="47"/>
        <v/>
      </c>
    </row>
    <row r="353" spans="8:15" x14ac:dyDescent="0.3">
      <c r="H353" s="19" t="str">
        <f t="shared" si="40"/>
        <v/>
      </c>
      <c r="I353" s="19" t="str">
        <f t="shared" si="41"/>
        <v/>
      </c>
      <c r="J353" s="19" t="str">
        <f t="shared" si="42"/>
        <v/>
      </c>
      <c r="K353" s="19" t="str">
        <f t="shared" si="43"/>
        <v/>
      </c>
      <c r="L353" s="19" t="str">
        <f t="shared" si="44"/>
        <v/>
      </c>
      <c r="M353" s="19" t="str">
        <f t="shared" si="45"/>
        <v/>
      </c>
      <c r="N353" s="20" t="str">
        <f t="shared" si="46"/>
        <v/>
      </c>
      <c r="O353" t="str">
        <f t="shared" si="47"/>
        <v/>
      </c>
    </row>
    <row r="354" spans="8:15" x14ac:dyDescent="0.3">
      <c r="H354" s="19" t="str">
        <f t="shared" si="40"/>
        <v/>
      </c>
      <c r="I354" s="19" t="str">
        <f t="shared" si="41"/>
        <v/>
      </c>
      <c r="J354" s="19" t="str">
        <f t="shared" si="42"/>
        <v/>
      </c>
      <c r="K354" s="19" t="str">
        <f t="shared" si="43"/>
        <v/>
      </c>
      <c r="L354" s="19" t="str">
        <f t="shared" si="44"/>
        <v/>
      </c>
      <c r="M354" s="19" t="str">
        <f t="shared" si="45"/>
        <v/>
      </c>
      <c r="N354" s="20" t="str">
        <f t="shared" si="46"/>
        <v/>
      </c>
      <c r="O354" t="str">
        <f t="shared" si="47"/>
        <v/>
      </c>
    </row>
    <row r="355" spans="8:15" x14ac:dyDescent="0.3">
      <c r="H355" s="19" t="str">
        <f t="shared" si="40"/>
        <v/>
      </c>
      <c r="I355" s="19" t="str">
        <f t="shared" si="41"/>
        <v/>
      </c>
      <c r="J355" s="19" t="str">
        <f t="shared" si="42"/>
        <v/>
      </c>
      <c r="K355" s="19" t="str">
        <f t="shared" si="43"/>
        <v/>
      </c>
      <c r="L355" s="19" t="str">
        <f t="shared" si="44"/>
        <v/>
      </c>
      <c r="M355" s="19" t="str">
        <f t="shared" si="45"/>
        <v/>
      </c>
      <c r="N355" s="20" t="str">
        <f t="shared" si="46"/>
        <v/>
      </c>
      <c r="O355" t="str">
        <f t="shared" si="47"/>
        <v/>
      </c>
    </row>
    <row r="356" spans="8:15" x14ac:dyDescent="0.3">
      <c r="H356" s="19" t="str">
        <f t="shared" si="40"/>
        <v/>
      </c>
      <c r="I356" s="19" t="str">
        <f t="shared" si="41"/>
        <v/>
      </c>
      <c r="J356" s="19" t="str">
        <f t="shared" si="42"/>
        <v/>
      </c>
      <c r="K356" s="19" t="str">
        <f t="shared" si="43"/>
        <v/>
      </c>
      <c r="L356" s="19" t="str">
        <f t="shared" si="44"/>
        <v/>
      </c>
      <c r="M356" s="19" t="str">
        <f t="shared" si="45"/>
        <v/>
      </c>
      <c r="N356" s="20" t="str">
        <f t="shared" si="46"/>
        <v/>
      </c>
      <c r="O356" t="str">
        <f t="shared" si="47"/>
        <v/>
      </c>
    </row>
    <row r="357" spans="8:15" x14ac:dyDescent="0.3">
      <c r="H357" s="19" t="str">
        <f t="shared" si="40"/>
        <v/>
      </c>
      <c r="I357" s="19" t="str">
        <f t="shared" si="41"/>
        <v/>
      </c>
      <c r="J357" s="19" t="str">
        <f t="shared" si="42"/>
        <v/>
      </c>
      <c r="K357" s="19" t="str">
        <f t="shared" si="43"/>
        <v/>
      </c>
      <c r="L357" s="19" t="str">
        <f t="shared" si="44"/>
        <v/>
      </c>
      <c r="M357" s="19" t="str">
        <f t="shared" si="45"/>
        <v/>
      </c>
      <c r="N357" s="20" t="str">
        <f t="shared" si="46"/>
        <v/>
      </c>
      <c r="O357" t="str">
        <f t="shared" si="47"/>
        <v/>
      </c>
    </row>
    <row r="358" spans="8:15" x14ac:dyDescent="0.3">
      <c r="H358" s="19" t="str">
        <f t="shared" si="40"/>
        <v/>
      </c>
      <c r="I358" s="19" t="str">
        <f t="shared" si="41"/>
        <v/>
      </c>
      <c r="J358" s="19" t="str">
        <f t="shared" si="42"/>
        <v/>
      </c>
      <c r="K358" s="19" t="str">
        <f t="shared" si="43"/>
        <v/>
      </c>
      <c r="L358" s="19" t="str">
        <f t="shared" si="44"/>
        <v/>
      </c>
      <c r="M358" s="19" t="str">
        <f t="shared" si="45"/>
        <v/>
      </c>
      <c r="N358" s="20" t="str">
        <f t="shared" si="46"/>
        <v/>
      </c>
      <c r="O358" t="str">
        <f t="shared" si="47"/>
        <v/>
      </c>
    </row>
    <row r="359" spans="8:15" x14ac:dyDescent="0.3">
      <c r="H359" s="19" t="str">
        <f t="shared" si="40"/>
        <v/>
      </c>
      <c r="I359" s="19" t="str">
        <f t="shared" si="41"/>
        <v/>
      </c>
      <c r="J359" s="19" t="str">
        <f t="shared" si="42"/>
        <v/>
      </c>
      <c r="K359" s="19" t="str">
        <f t="shared" si="43"/>
        <v/>
      </c>
      <c r="L359" s="19" t="str">
        <f t="shared" si="44"/>
        <v/>
      </c>
      <c r="M359" s="19" t="str">
        <f t="shared" si="45"/>
        <v/>
      </c>
      <c r="N359" s="20" t="str">
        <f t="shared" si="46"/>
        <v/>
      </c>
      <c r="O359" t="str">
        <f t="shared" si="47"/>
        <v/>
      </c>
    </row>
    <row r="360" spans="8:15" x14ac:dyDescent="0.3">
      <c r="H360" s="19" t="str">
        <f t="shared" si="40"/>
        <v/>
      </c>
      <c r="I360" s="19" t="str">
        <f t="shared" si="41"/>
        <v/>
      </c>
      <c r="J360" s="19" t="str">
        <f t="shared" si="42"/>
        <v/>
      </c>
      <c r="K360" s="19" t="str">
        <f t="shared" si="43"/>
        <v/>
      </c>
      <c r="L360" s="19" t="str">
        <f t="shared" si="44"/>
        <v/>
      </c>
      <c r="M360" s="19" t="str">
        <f t="shared" si="45"/>
        <v/>
      </c>
      <c r="N360" s="20" t="str">
        <f t="shared" si="46"/>
        <v/>
      </c>
      <c r="O360" t="str">
        <f t="shared" si="47"/>
        <v/>
      </c>
    </row>
    <row r="361" spans="8:15" x14ac:dyDescent="0.3">
      <c r="H361" s="19" t="str">
        <f t="shared" si="40"/>
        <v/>
      </c>
      <c r="I361" s="19" t="str">
        <f t="shared" si="41"/>
        <v/>
      </c>
      <c r="J361" s="19" t="str">
        <f t="shared" si="42"/>
        <v/>
      </c>
      <c r="K361" s="19" t="str">
        <f t="shared" si="43"/>
        <v/>
      </c>
      <c r="L361" s="19" t="str">
        <f t="shared" si="44"/>
        <v/>
      </c>
      <c r="M361" s="19" t="str">
        <f t="shared" si="45"/>
        <v/>
      </c>
      <c r="N361" s="20" t="str">
        <f t="shared" si="46"/>
        <v/>
      </c>
      <c r="O361" t="str">
        <f t="shared" si="47"/>
        <v/>
      </c>
    </row>
    <row r="362" spans="8:15" x14ac:dyDescent="0.3">
      <c r="H362" s="19" t="str">
        <f t="shared" si="40"/>
        <v/>
      </c>
      <c r="I362" s="19" t="str">
        <f t="shared" si="41"/>
        <v/>
      </c>
      <c r="J362" s="19" t="str">
        <f t="shared" si="42"/>
        <v/>
      </c>
      <c r="K362" s="19" t="str">
        <f t="shared" si="43"/>
        <v/>
      </c>
      <c r="L362" s="19" t="str">
        <f t="shared" si="44"/>
        <v/>
      </c>
      <c r="M362" s="19" t="str">
        <f t="shared" si="45"/>
        <v/>
      </c>
      <c r="N362" s="20" t="str">
        <f t="shared" si="46"/>
        <v/>
      </c>
      <c r="O362" t="str">
        <f t="shared" si="47"/>
        <v/>
      </c>
    </row>
    <row r="363" spans="8:15" x14ac:dyDescent="0.3">
      <c r="H363" s="19" t="str">
        <f t="shared" si="40"/>
        <v/>
      </c>
      <c r="I363" s="19" t="str">
        <f t="shared" si="41"/>
        <v/>
      </c>
      <c r="J363" s="19" t="str">
        <f t="shared" si="42"/>
        <v/>
      </c>
      <c r="K363" s="19" t="str">
        <f t="shared" si="43"/>
        <v/>
      </c>
      <c r="L363" s="19" t="str">
        <f t="shared" si="44"/>
        <v/>
      </c>
      <c r="M363" s="19" t="str">
        <f t="shared" si="45"/>
        <v/>
      </c>
      <c r="N363" s="20" t="str">
        <f t="shared" si="46"/>
        <v/>
      </c>
      <c r="O363" t="str">
        <f t="shared" si="47"/>
        <v/>
      </c>
    </row>
    <row r="364" spans="8:15" x14ac:dyDescent="0.3">
      <c r="H364" s="19" t="str">
        <f t="shared" si="40"/>
        <v/>
      </c>
      <c r="I364" s="19" t="str">
        <f t="shared" si="41"/>
        <v/>
      </c>
      <c r="J364" s="19" t="str">
        <f t="shared" si="42"/>
        <v/>
      </c>
      <c r="K364" s="19" t="str">
        <f t="shared" si="43"/>
        <v/>
      </c>
      <c r="L364" s="19" t="str">
        <f t="shared" si="44"/>
        <v/>
      </c>
      <c r="M364" s="19" t="str">
        <f t="shared" si="45"/>
        <v/>
      </c>
      <c r="N364" s="20" t="str">
        <f t="shared" si="46"/>
        <v/>
      </c>
      <c r="O364" t="str">
        <f t="shared" si="47"/>
        <v/>
      </c>
    </row>
    <row r="365" spans="8:15" x14ac:dyDescent="0.3">
      <c r="H365" s="19" t="str">
        <f t="shared" si="40"/>
        <v/>
      </c>
      <c r="I365" s="19" t="str">
        <f t="shared" si="41"/>
        <v/>
      </c>
      <c r="J365" s="19" t="str">
        <f t="shared" si="42"/>
        <v/>
      </c>
      <c r="K365" s="19" t="str">
        <f t="shared" si="43"/>
        <v/>
      </c>
      <c r="L365" s="19" t="str">
        <f t="shared" si="44"/>
        <v/>
      </c>
      <c r="M365" s="19" t="str">
        <f t="shared" si="45"/>
        <v/>
      </c>
      <c r="N365" s="20" t="str">
        <f t="shared" si="46"/>
        <v/>
      </c>
      <c r="O365" t="str">
        <f t="shared" si="47"/>
        <v/>
      </c>
    </row>
    <row r="366" spans="8:15" x14ac:dyDescent="0.3">
      <c r="H366" s="19" t="str">
        <f t="shared" si="40"/>
        <v/>
      </c>
      <c r="I366" s="19" t="str">
        <f t="shared" si="41"/>
        <v/>
      </c>
      <c r="J366" s="19" t="str">
        <f t="shared" si="42"/>
        <v/>
      </c>
      <c r="K366" s="19" t="str">
        <f t="shared" si="43"/>
        <v/>
      </c>
      <c r="L366" s="19" t="str">
        <f t="shared" si="44"/>
        <v/>
      </c>
      <c r="M366" s="19" t="str">
        <f t="shared" si="45"/>
        <v/>
      </c>
      <c r="N366" s="20" t="str">
        <f t="shared" si="46"/>
        <v/>
      </c>
      <c r="O366" t="str">
        <f t="shared" si="47"/>
        <v/>
      </c>
    </row>
    <row r="367" spans="8:15" x14ac:dyDescent="0.3">
      <c r="H367" s="19" t="str">
        <f t="shared" si="40"/>
        <v/>
      </c>
      <c r="I367" s="19" t="str">
        <f t="shared" si="41"/>
        <v/>
      </c>
      <c r="J367" s="19" t="str">
        <f t="shared" si="42"/>
        <v/>
      </c>
      <c r="K367" s="19" t="str">
        <f t="shared" si="43"/>
        <v/>
      </c>
      <c r="L367" s="19" t="str">
        <f t="shared" si="44"/>
        <v/>
      </c>
      <c r="M367" s="19" t="str">
        <f t="shared" si="45"/>
        <v/>
      </c>
      <c r="N367" s="20" t="str">
        <f t="shared" si="46"/>
        <v/>
      </c>
      <c r="O367" t="str">
        <f t="shared" si="47"/>
        <v/>
      </c>
    </row>
    <row r="368" spans="8:15" x14ac:dyDescent="0.3">
      <c r="H368" s="19" t="str">
        <f t="shared" si="40"/>
        <v/>
      </c>
      <c r="I368" s="19" t="str">
        <f t="shared" si="41"/>
        <v/>
      </c>
      <c r="J368" s="19" t="str">
        <f t="shared" si="42"/>
        <v/>
      </c>
      <c r="K368" s="19" t="str">
        <f t="shared" si="43"/>
        <v/>
      </c>
      <c r="L368" s="19" t="str">
        <f t="shared" si="44"/>
        <v/>
      </c>
      <c r="M368" s="19" t="str">
        <f t="shared" si="45"/>
        <v/>
      </c>
      <c r="N368" s="20" t="str">
        <f t="shared" si="46"/>
        <v/>
      </c>
      <c r="O368" t="str">
        <f t="shared" si="47"/>
        <v/>
      </c>
    </row>
    <row r="369" spans="8:15" x14ac:dyDescent="0.3">
      <c r="H369" s="19" t="str">
        <f t="shared" si="40"/>
        <v/>
      </c>
      <c r="I369" s="19" t="str">
        <f t="shared" si="41"/>
        <v/>
      </c>
      <c r="J369" s="19" t="str">
        <f t="shared" si="42"/>
        <v/>
      </c>
      <c r="K369" s="19" t="str">
        <f t="shared" si="43"/>
        <v/>
      </c>
      <c r="L369" s="19" t="str">
        <f t="shared" si="44"/>
        <v/>
      </c>
      <c r="M369" s="19" t="str">
        <f t="shared" si="45"/>
        <v/>
      </c>
      <c r="N369" s="20" t="str">
        <f t="shared" si="46"/>
        <v/>
      </c>
      <c r="O369" t="str">
        <f t="shared" si="47"/>
        <v/>
      </c>
    </row>
    <row r="370" spans="8:15" x14ac:dyDescent="0.3">
      <c r="H370" s="19" t="str">
        <f t="shared" si="40"/>
        <v/>
      </c>
      <c r="I370" s="19" t="str">
        <f t="shared" si="41"/>
        <v/>
      </c>
      <c r="J370" s="19" t="str">
        <f t="shared" si="42"/>
        <v/>
      </c>
      <c r="K370" s="19" t="str">
        <f t="shared" si="43"/>
        <v/>
      </c>
      <c r="L370" s="19" t="str">
        <f t="shared" si="44"/>
        <v/>
      </c>
      <c r="M370" s="19" t="str">
        <f t="shared" si="45"/>
        <v/>
      </c>
      <c r="N370" s="20" t="str">
        <f t="shared" si="46"/>
        <v/>
      </c>
      <c r="O370" t="str">
        <f t="shared" si="47"/>
        <v/>
      </c>
    </row>
    <row r="371" spans="8:15" x14ac:dyDescent="0.3">
      <c r="H371" s="19" t="str">
        <f t="shared" si="40"/>
        <v/>
      </c>
      <c r="I371" s="19" t="str">
        <f t="shared" si="41"/>
        <v/>
      </c>
      <c r="J371" s="19" t="str">
        <f t="shared" si="42"/>
        <v/>
      </c>
      <c r="K371" s="19" t="str">
        <f t="shared" si="43"/>
        <v/>
      </c>
      <c r="L371" s="19" t="str">
        <f t="shared" si="44"/>
        <v/>
      </c>
      <c r="M371" s="19" t="str">
        <f t="shared" si="45"/>
        <v/>
      </c>
      <c r="N371" s="20" t="str">
        <f t="shared" si="46"/>
        <v/>
      </c>
      <c r="O371" t="str">
        <f t="shared" si="47"/>
        <v/>
      </c>
    </row>
    <row r="372" spans="8:15" x14ac:dyDescent="0.3">
      <c r="H372" s="19" t="str">
        <f t="shared" si="40"/>
        <v/>
      </c>
      <c r="I372" s="19" t="str">
        <f t="shared" si="41"/>
        <v/>
      </c>
      <c r="J372" s="19" t="str">
        <f t="shared" si="42"/>
        <v/>
      </c>
      <c r="K372" s="19" t="str">
        <f t="shared" si="43"/>
        <v/>
      </c>
      <c r="L372" s="19" t="str">
        <f t="shared" si="44"/>
        <v/>
      </c>
      <c r="M372" s="19" t="str">
        <f t="shared" si="45"/>
        <v/>
      </c>
      <c r="N372" s="20" t="str">
        <f t="shared" si="46"/>
        <v/>
      </c>
      <c r="O372" t="str">
        <f t="shared" si="47"/>
        <v/>
      </c>
    </row>
    <row r="373" spans="8:15" x14ac:dyDescent="0.3">
      <c r="H373" s="19" t="str">
        <f t="shared" si="40"/>
        <v/>
      </c>
      <c r="I373" s="19" t="str">
        <f t="shared" si="41"/>
        <v/>
      </c>
      <c r="J373" s="19" t="str">
        <f t="shared" si="42"/>
        <v/>
      </c>
      <c r="K373" s="19" t="str">
        <f t="shared" si="43"/>
        <v/>
      </c>
      <c r="L373" s="19" t="str">
        <f t="shared" si="44"/>
        <v/>
      </c>
      <c r="M373" s="19" t="str">
        <f t="shared" si="45"/>
        <v/>
      </c>
      <c r="N373" s="20" t="str">
        <f t="shared" si="46"/>
        <v/>
      </c>
      <c r="O373" t="str">
        <f t="shared" si="47"/>
        <v/>
      </c>
    </row>
    <row r="374" spans="8:15" x14ac:dyDescent="0.3">
      <c r="H374" s="19" t="str">
        <f t="shared" si="40"/>
        <v/>
      </c>
      <c r="I374" s="19" t="str">
        <f t="shared" si="41"/>
        <v/>
      </c>
      <c r="J374" s="19" t="str">
        <f t="shared" si="42"/>
        <v/>
      </c>
      <c r="K374" s="19" t="str">
        <f t="shared" si="43"/>
        <v/>
      </c>
      <c r="L374" s="19" t="str">
        <f t="shared" si="44"/>
        <v/>
      </c>
      <c r="M374" s="19" t="str">
        <f t="shared" si="45"/>
        <v/>
      </c>
      <c r="N374" s="20" t="str">
        <f t="shared" si="46"/>
        <v/>
      </c>
      <c r="O374" t="str">
        <f t="shared" si="47"/>
        <v/>
      </c>
    </row>
    <row r="375" spans="8:15" x14ac:dyDescent="0.3">
      <c r="H375" s="19" t="str">
        <f t="shared" si="40"/>
        <v/>
      </c>
      <c r="I375" s="19" t="str">
        <f t="shared" si="41"/>
        <v/>
      </c>
      <c r="J375" s="19" t="str">
        <f t="shared" si="42"/>
        <v/>
      </c>
      <c r="K375" s="19" t="str">
        <f t="shared" si="43"/>
        <v/>
      </c>
      <c r="L375" s="19" t="str">
        <f t="shared" si="44"/>
        <v/>
      </c>
      <c r="M375" s="19" t="str">
        <f t="shared" si="45"/>
        <v/>
      </c>
      <c r="N375" s="20" t="str">
        <f t="shared" si="46"/>
        <v/>
      </c>
      <c r="O375" t="str">
        <f t="shared" si="47"/>
        <v/>
      </c>
    </row>
    <row r="376" spans="8:15" x14ac:dyDescent="0.3">
      <c r="H376" s="19" t="str">
        <f t="shared" si="40"/>
        <v/>
      </c>
      <c r="I376" s="19" t="str">
        <f t="shared" si="41"/>
        <v/>
      </c>
      <c r="J376" s="19" t="str">
        <f t="shared" si="42"/>
        <v/>
      </c>
      <c r="K376" s="19" t="str">
        <f t="shared" si="43"/>
        <v/>
      </c>
      <c r="L376" s="19" t="str">
        <f t="shared" si="44"/>
        <v/>
      </c>
      <c r="M376" s="19" t="str">
        <f t="shared" si="45"/>
        <v/>
      </c>
      <c r="N376" s="20" t="str">
        <f t="shared" si="46"/>
        <v/>
      </c>
      <c r="O376" t="str">
        <f t="shared" si="47"/>
        <v/>
      </c>
    </row>
    <row r="377" spans="8:15" x14ac:dyDescent="0.3">
      <c r="H377" s="19" t="str">
        <f t="shared" si="40"/>
        <v/>
      </c>
      <c r="I377" s="19" t="str">
        <f t="shared" si="41"/>
        <v/>
      </c>
      <c r="J377" s="19" t="str">
        <f t="shared" si="42"/>
        <v/>
      </c>
      <c r="K377" s="19" t="str">
        <f t="shared" si="43"/>
        <v/>
      </c>
      <c r="L377" s="19" t="str">
        <f t="shared" si="44"/>
        <v/>
      </c>
      <c r="M377" s="19" t="str">
        <f t="shared" si="45"/>
        <v/>
      </c>
      <c r="N377" s="20" t="str">
        <f t="shared" si="46"/>
        <v/>
      </c>
      <c r="O377" t="str">
        <f t="shared" si="47"/>
        <v/>
      </c>
    </row>
    <row r="378" spans="8:15" x14ac:dyDescent="0.3">
      <c r="H378" s="19" t="str">
        <f t="shared" si="40"/>
        <v/>
      </c>
      <c r="I378" s="19" t="str">
        <f t="shared" si="41"/>
        <v/>
      </c>
      <c r="J378" s="19" t="str">
        <f t="shared" si="42"/>
        <v/>
      </c>
      <c r="K378" s="19" t="str">
        <f t="shared" si="43"/>
        <v/>
      </c>
      <c r="L378" s="19" t="str">
        <f t="shared" si="44"/>
        <v/>
      </c>
      <c r="M378" s="19" t="str">
        <f t="shared" si="45"/>
        <v/>
      </c>
      <c r="N378" s="20" t="str">
        <f t="shared" si="46"/>
        <v/>
      </c>
      <c r="O378" t="str">
        <f t="shared" si="47"/>
        <v/>
      </c>
    </row>
    <row r="379" spans="8:15" x14ac:dyDescent="0.3">
      <c r="H379" s="19" t="str">
        <f t="shared" si="40"/>
        <v/>
      </c>
      <c r="I379" s="19" t="str">
        <f t="shared" si="41"/>
        <v/>
      </c>
      <c r="J379" s="19" t="str">
        <f t="shared" si="42"/>
        <v/>
      </c>
      <c r="K379" s="19" t="str">
        <f t="shared" si="43"/>
        <v/>
      </c>
      <c r="L379" s="19" t="str">
        <f t="shared" si="44"/>
        <v/>
      </c>
      <c r="M379" s="19" t="str">
        <f t="shared" si="45"/>
        <v/>
      </c>
      <c r="N379" s="20" t="str">
        <f t="shared" si="46"/>
        <v/>
      </c>
      <c r="O379" t="str">
        <f t="shared" si="47"/>
        <v/>
      </c>
    </row>
    <row r="380" spans="8:15" x14ac:dyDescent="0.3">
      <c r="H380" s="19" t="str">
        <f t="shared" si="40"/>
        <v/>
      </c>
      <c r="I380" s="19" t="str">
        <f t="shared" si="41"/>
        <v/>
      </c>
      <c r="J380" s="19" t="str">
        <f t="shared" si="42"/>
        <v/>
      </c>
      <c r="K380" s="19" t="str">
        <f t="shared" si="43"/>
        <v/>
      </c>
      <c r="L380" s="19" t="str">
        <f t="shared" si="44"/>
        <v/>
      </c>
      <c r="M380" s="19" t="str">
        <f t="shared" si="45"/>
        <v/>
      </c>
      <c r="N380" s="20" t="str">
        <f t="shared" si="46"/>
        <v/>
      </c>
      <c r="O380" t="str">
        <f t="shared" si="47"/>
        <v/>
      </c>
    </row>
    <row r="381" spans="8:15" x14ac:dyDescent="0.3">
      <c r="H381" s="19" t="str">
        <f t="shared" si="40"/>
        <v/>
      </c>
      <c r="I381" s="19" t="str">
        <f t="shared" si="41"/>
        <v/>
      </c>
      <c r="J381" s="19" t="str">
        <f t="shared" si="42"/>
        <v/>
      </c>
      <c r="K381" s="19" t="str">
        <f t="shared" si="43"/>
        <v/>
      </c>
      <c r="L381" s="19" t="str">
        <f t="shared" si="44"/>
        <v/>
      </c>
      <c r="M381" s="19" t="str">
        <f t="shared" si="45"/>
        <v/>
      </c>
      <c r="N381" s="20" t="str">
        <f t="shared" si="46"/>
        <v/>
      </c>
      <c r="O381" t="str">
        <f t="shared" si="47"/>
        <v/>
      </c>
    </row>
    <row r="382" spans="8:15" x14ac:dyDescent="0.3">
      <c r="H382" s="19" t="str">
        <f t="shared" si="40"/>
        <v/>
      </c>
      <c r="I382" s="19" t="str">
        <f t="shared" si="41"/>
        <v/>
      </c>
      <c r="J382" s="19" t="str">
        <f t="shared" si="42"/>
        <v/>
      </c>
      <c r="K382" s="19" t="str">
        <f t="shared" si="43"/>
        <v/>
      </c>
      <c r="L382" s="19" t="str">
        <f t="shared" si="44"/>
        <v/>
      </c>
      <c r="M382" s="19" t="str">
        <f t="shared" si="45"/>
        <v/>
      </c>
      <c r="N382" s="20" t="str">
        <f t="shared" si="46"/>
        <v/>
      </c>
      <c r="O382" t="str">
        <f t="shared" si="47"/>
        <v/>
      </c>
    </row>
    <row r="383" spans="8:15" x14ac:dyDescent="0.3">
      <c r="H383" s="19" t="str">
        <f t="shared" si="40"/>
        <v/>
      </c>
      <c r="I383" s="19" t="str">
        <f t="shared" si="41"/>
        <v/>
      </c>
      <c r="J383" s="19" t="str">
        <f t="shared" si="42"/>
        <v/>
      </c>
      <c r="K383" s="19" t="str">
        <f t="shared" si="43"/>
        <v/>
      </c>
      <c r="L383" s="19" t="str">
        <f t="shared" si="44"/>
        <v/>
      </c>
      <c r="M383" s="19" t="str">
        <f t="shared" si="45"/>
        <v/>
      </c>
      <c r="N383" s="20" t="str">
        <f t="shared" si="46"/>
        <v/>
      </c>
      <c r="O383" t="str">
        <f t="shared" si="47"/>
        <v/>
      </c>
    </row>
    <row r="384" spans="8:15" x14ac:dyDescent="0.3">
      <c r="H384" s="19" t="str">
        <f t="shared" si="40"/>
        <v/>
      </c>
      <c r="I384" s="19" t="str">
        <f t="shared" si="41"/>
        <v/>
      </c>
      <c r="J384" s="19" t="str">
        <f t="shared" si="42"/>
        <v/>
      </c>
      <c r="K384" s="19" t="str">
        <f t="shared" si="43"/>
        <v/>
      </c>
      <c r="L384" s="19" t="str">
        <f t="shared" si="44"/>
        <v/>
      </c>
      <c r="M384" s="19" t="str">
        <f t="shared" si="45"/>
        <v/>
      </c>
      <c r="N384" s="20" t="str">
        <f t="shared" si="46"/>
        <v/>
      </c>
      <c r="O384" t="str">
        <f t="shared" si="47"/>
        <v/>
      </c>
    </row>
    <row r="385" spans="8:15" x14ac:dyDescent="0.3">
      <c r="H385" s="19" t="str">
        <f t="shared" si="40"/>
        <v/>
      </c>
      <c r="I385" s="19" t="str">
        <f t="shared" si="41"/>
        <v/>
      </c>
      <c r="J385" s="19" t="str">
        <f t="shared" si="42"/>
        <v/>
      </c>
      <c r="K385" s="19" t="str">
        <f t="shared" si="43"/>
        <v/>
      </c>
      <c r="L385" s="19" t="str">
        <f t="shared" si="44"/>
        <v/>
      </c>
      <c r="M385" s="19" t="str">
        <f t="shared" si="45"/>
        <v/>
      </c>
      <c r="N385" s="20" t="str">
        <f t="shared" si="46"/>
        <v/>
      </c>
      <c r="O385" t="str">
        <f t="shared" si="47"/>
        <v/>
      </c>
    </row>
    <row r="386" spans="8:15" x14ac:dyDescent="0.3">
      <c r="H386" s="19" t="str">
        <f t="shared" si="40"/>
        <v/>
      </c>
      <c r="I386" s="19" t="str">
        <f t="shared" si="41"/>
        <v/>
      </c>
      <c r="J386" s="19" t="str">
        <f t="shared" si="42"/>
        <v/>
      </c>
      <c r="K386" s="19" t="str">
        <f t="shared" si="43"/>
        <v/>
      </c>
      <c r="L386" s="19" t="str">
        <f t="shared" si="44"/>
        <v/>
      </c>
      <c r="M386" s="19" t="str">
        <f t="shared" si="45"/>
        <v/>
      </c>
      <c r="N386" s="20" t="str">
        <f t="shared" si="46"/>
        <v/>
      </c>
      <c r="O386" t="str">
        <f t="shared" si="47"/>
        <v/>
      </c>
    </row>
    <row r="387" spans="8:15" x14ac:dyDescent="0.3">
      <c r="H387" s="19" t="str">
        <f t="shared" ref="H387:H450" si="48">IF(AND(B387&lt;&gt;"",D387&lt;&gt;""),D387/1.6021766341/B387,"")</f>
        <v/>
      </c>
      <c r="I387" s="19" t="str">
        <f t="shared" ref="I387:I450" si="49">IF(AND(B387&lt;&gt;"",D387&lt;&gt;"",C387&lt;&gt;""),D387*C387^2*0.000001,"")</f>
        <v/>
      </c>
      <c r="J387" s="19" t="str">
        <f t="shared" ref="J387:J450" si="50">IF(AND(A387&lt;&gt;"",B387&lt;&gt;"",C387&lt;&gt;""),(B387/2.509412225*(EXP(C387/86.17333262-2)-1.075*EXP(-2)))^(2/3)*300/A387,"")</f>
        <v/>
      </c>
      <c r="K387" s="19" t="str">
        <f t="shared" ref="K387:K450" si="51">IF(J387&lt;&gt;"",H387*(1+(J387*A387/300)^(-3/2)*B387/(2*2.509412225))^(1/3),"")</f>
        <v/>
      </c>
      <c r="L387" s="19" t="str">
        <f t="shared" ref="L387:L450" si="52">IF(AND(A387&lt;&gt;"",M387&lt;&gt;""),M387*(300/A387)^(3/2),"")</f>
        <v/>
      </c>
      <c r="M387" s="19" t="str">
        <f t="shared" ref="M387:M450" si="53">IF(AND(C387&lt;&gt;"",D387&lt;&gt;""),D387/4.02052163221989*(EXP(C387/86.17333262-2)-1.075*EXP(-2))*(1+0.5/(EXP(C387/86.17333262-2)-1.075*EXP(-2)))^(1/3),"")</f>
        <v/>
      </c>
      <c r="N387" s="20" t="str">
        <f t="shared" ref="N387:N450" si="54">IF(M387&lt;&gt;"",0.12122458*M387,"")</f>
        <v/>
      </c>
      <c r="O387" t="str">
        <f t="shared" ref="O387:O450" si="55">IF(AND(B387&lt;&gt;"",C387&lt;&gt;""),1.255*B387*(EXP(C387/86.17333262-2)-1.075*EXP(-2)),"")</f>
        <v/>
      </c>
    </row>
    <row r="388" spans="8:15" x14ac:dyDescent="0.3">
      <c r="H388" s="19" t="str">
        <f t="shared" si="48"/>
        <v/>
      </c>
      <c r="I388" s="19" t="str">
        <f t="shared" si="49"/>
        <v/>
      </c>
      <c r="J388" s="19" t="str">
        <f t="shared" si="50"/>
        <v/>
      </c>
      <c r="K388" s="19" t="str">
        <f t="shared" si="51"/>
        <v/>
      </c>
      <c r="L388" s="19" t="str">
        <f t="shared" si="52"/>
        <v/>
      </c>
      <c r="M388" s="19" t="str">
        <f t="shared" si="53"/>
        <v/>
      </c>
      <c r="N388" s="20" t="str">
        <f t="shared" si="54"/>
        <v/>
      </c>
      <c r="O388" t="str">
        <f t="shared" si="55"/>
        <v/>
      </c>
    </row>
    <row r="389" spans="8:15" x14ac:dyDescent="0.3">
      <c r="H389" s="19" t="str">
        <f t="shared" si="48"/>
        <v/>
      </c>
      <c r="I389" s="19" t="str">
        <f t="shared" si="49"/>
        <v/>
      </c>
      <c r="J389" s="19" t="str">
        <f t="shared" si="50"/>
        <v/>
      </c>
      <c r="K389" s="19" t="str">
        <f t="shared" si="51"/>
        <v/>
      </c>
      <c r="L389" s="19" t="str">
        <f t="shared" si="52"/>
        <v/>
      </c>
      <c r="M389" s="19" t="str">
        <f t="shared" si="53"/>
        <v/>
      </c>
      <c r="N389" s="20" t="str">
        <f t="shared" si="54"/>
        <v/>
      </c>
      <c r="O389" t="str">
        <f t="shared" si="55"/>
        <v/>
      </c>
    </row>
    <row r="390" spans="8:15" x14ac:dyDescent="0.3">
      <c r="H390" s="19" t="str">
        <f t="shared" si="48"/>
        <v/>
      </c>
      <c r="I390" s="19" t="str">
        <f t="shared" si="49"/>
        <v/>
      </c>
      <c r="J390" s="19" t="str">
        <f t="shared" si="50"/>
        <v/>
      </c>
      <c r="K390" s="19" t="str">
        <f t="shared" si="51"/>
        <v/>
      </c>
      <c r="L390" s="19" t="str">
        <f t="shared" si="52"/>
        <v/>
      </c>
      <c r="M390" s="19" t="str">
        <f t="shared" si="53"/>
        <v/>
      </c>
      <c r="N390" s="20" t="str">
        <f t="shared" si="54"/>
        <v/>
      </c>
      <c r="O390" t="str">
        <f t="shared" si="55"/>
        <v/>
      </c>
    </row>
    <row r="391" spans="8:15" x14ac:dyDescent="0.3">
      <c r="H391" s="19" t="str">
        <f t="shared" si="48"/>
        <v/>
      </c>
      <c r="I391" s="19" t="str">
        <f t="shared" si="49"/>
        <v/>
      </c>
      <c r="J391" s="19" t="str">
        <f t="shared" si="50"/>
        <v/>
      </c>
      <c r="K391" s="19" t="str">
        <f t="shared" si="51"/>
        <v/>
      </c>
      <c r="L391" s="19" t="str">
        <f t="shared" si="52"/>
        <v/>
      </c>
      <c r="M391" s="19" t="str">
        <f t="shared" si="53"/>
        <v/>
      </c>
      <c r="N391" s="20" t="str">
        <f t="shared" si="54"/>
        <v/>
      </c>
      <c r="O391" t="str">
        <f t="shared" si="55"/>
        <v/>
      </c>
    </row>
    <row r="392" spans="8:15" x14ac:dyDescent="0.3">
      <c r="H392" s="19" t="str">
        <f t="shared" si="48"/>
        <v/>
      </c>
      <c r="I392" s="19" t="str">
        <f t="shared" si="49"/>
        <v/>
      </c>
      <c r="J392" s="19" t="str">
        <f t="shared" si="50"/>
        <v/>
      </c>
      <c r="K392" s="19" t="str">
        <f t="shared" si="51"/>
        <v/>
      </c>
      <c r="L392" s="19" t="str">
        <f t="shared" si="52"/>
        <v/>
      </c>
      <c r="M392" s="19" t="str">
        <f t="shared" si="53"/>
        <v/>
      </c>
      <c r="N392" s="20" t="str">
        <f t="shared" si="54"/>
        <v/>
      </c>
      <c r="O392" t="str">
        <f t="shared" si="55"/>
        <v/>
      </c>
    </row>
    <row r="393" spans="8:15" x14ac:dyDescent="0.3">
      <c r="H393" s="19" t="str">
        <f t="shared" si="48"/>
        <v/>
      </c>
      <c r="I393" s="19" t="str">
        <f t="shared" si="49"/>
        <v/>
      </c>
      <c r="J393" s="19" t="str">
        <f t="shared" si="50"/>
        <v/>
      </c>
      <c r="K393" s="19" t="str">
        <f t="shared" si="51"/>
        <v/>
      </c>
      <c r="L393" s="19" t="str">
        <f t="shared" si="52"/>
        <v/>
      </c>
      <c r="M393" s="19" t="str">
        <f t="shared" si="53"/>
        <v/>
      </c>
      <c r="N393" s="20" t="str">
        <f t="shared" si="54"/>
        <v/>
      </c>
      <c r="O393" t="str">
        <f t="shared" si="55"/>
        <v/>
      </c>
    </row>
    <row r="394" spans="8:15" x14ac:dyDescent="0.3">
      <c r="H394" s="19" t="str">
        <f t="shared" si="48"/>
        <v/>
      </c>
      <c r="I394" s="19" t="str">
        <f t="shared" si="49"/>
        <v/>
      </c>
      <c r="J394" s="19" t="str">
        <f t="shared" si="50"/>
        <v/>
      </c>
      <c r="K394" s="19" t="str">
        <f t="shared" si="51"/>
        <v/>
      </c>
      <c r="L394" s="19" t="str">
        <f t="shared" si="52"/>
        <v/>
      </c>
      <c r="M394" s="19" t="str">
        <f t="shared" si="53"/>
        <v/>
      </c>
      <c r="N394" s="20" t="str">
        <f t="shared" si="54"/>
        <v/>
      </c>
      <c r="O394" t="str">
        <f t="shared" si="55"/>
        <v/>
      </c>
    </row>
    <row r="395" spans="8:15" x14ac:dyDescent="0.3">
      <c r="H395" s="19" t="str">
        <f t="shared" si="48"/>
        <v/>
      </c>
      <c r="I395" s="19" t="str">
        <f t="shared" si="49"/>
        <v/>
      </c>
      <c r="J395" s="19" t="str">
        <f t="shared" si="50"/>
        <v/>
      </c>
      <c r="K395" s="19" t="str">
        <f t="shared" si="51"/>
        <v/>
      </c>
      <c r="L395" s="19" t="str">
        <f t="shared" si="52"/>
        <v/>
      </c>
      <c r="M395" s="19" t="str">
        <f t="shared" si="53"/>
        <v/>
      </c>
      <c r="N395" s="20" t="str">
        <f t="shared" si="54"/>
        <v/>
      </c>
      <c r="O395" t="str">
        <f t="shared" si="55"/>
        <v/>
      </c>
    </row>
    <row r="396" spans="8:15" x14ac:dyDescent="0.3">
      <c r="H396" s="19" t="str">
        <f t="shared" si="48"/>
        <v/>
      </c>
      <c r="I396" s="19" t="str">
        <f t="shared" si="49"/>
        <v/>
      </c>
      <c r="J396" s="19" t="str">
        <f t="shared" si="50"/>
        <v/>
      </c>
      <c r="K396" s="19" t="str">
        <f t="shared" si="51"/>
        <v/>
      </c>
      <c r="L396" s="19" t="str">
        <f t="shared" si="52"/>
        <v/>
      </c>
      <c r="M396" s="19" t="str">
        <f t="shared" si="53"/>
        <v/>
      </c>
      <c r="N396" s="20" t="str">
        <f t="shared" si="54"/>
        <v/>
      </c>
      <c r="O396" t="str">
        <f t="shared" si="55"/>
        <v/>
      </c>
    </row>
    <row r="397" spans="8:15" x14ac:dyDescent="0.3">
      <c r="H397" s="19" t="str">
        <f t="shared" si="48"/>
        <v/>
      </c>
      <c r="I397" s="19" t="str">
        <f t="shared" si="49"/>
        <v/>
      </c>
      <c r="J397" s="19" t="str">
        <f t="shared" si="50"/>
        <v/>
      </c>
      <c r="K397" s="19" t="str">
        <f t="shared" si="51"/>
        <v/>
      </c>
      <c r="L397" s="19" t="str">
        <f t="shared" si="52"/>
        <v/>
      </c>
      <c r="M397" s="19" t="str">
        <f t="shared" si="53"/>
        <v/>
      </c>
      <c r="N397" s="20" t="str">
        <f t="shared" si="54"/>
        <v/>
      </c>
      <c r="O397" t="str">
        <f t="shared" si="55"/>
        <v/>
      </c>
    </row>
    <row r="398" spans="8:15" x14ac:dyDescent="0.3">
      <c r="H398" s="19" t="str">
        <f t="shared" si="48"/>
        <v/>
      </c>
      <c r="I398" s="19" t="str">
        <f t="shared" si="49"/>
        <v/>
      </c>
      <c r="J398" s="19" t="str">
        <f t="shared" si="50"/>
        <v/>
      </c>
      <c r="K398" s="19" t="str">
        <f t="shared" si="51"/>
        <v/>
      </c>
      <c r="L398" s="19" t="str">
        <f t="shared" si="52"/>
        <v/>
      </c>
      <c r="M398" s="19" t="str">
        <f t="shared" si="53"/>
        <v/>
      </c>
      <c r="N398" s="20" t="str">
        <f t="shared" si="54"/>
        <v/>
      </c>
      <c r="O398" t="str">
        <f t="shared" si="55"/>
        <v/>
      </c>
    </row>
    <row r="399" spans="8:15" x14ac:dyDescent="0.3">
      <c r="H399" s="19" t="str">
        <f t="shared" si="48"/>
        <v/>
      </c>
      <c r="I399" s="19" t="str">
        <f t="shared" si="49"/>
        <v/>
      </c>
      <c r="J399" s="19" t="str">
        <f t="shared" si="50"/>
        <v/>
      </c>
      <c r="K399" s="19" t="str">
        <f t="shared" si="51"/>
        <v/>
      </c>
      <c r="L399" s="19" t="str">
        <f t="shared" si="52"/>
        <v/>
      </c>
      <c r="M399" s="19" t="str">
        <f t="shared" si="53"/>
        <v/>
      </c>
      <c r="N399" s="20" t="str">
        <f t="shared" si="54"/>
        <v/>
      </c>
      <c r="O399" t="str">
        <f t="shared" si="55"/>
        <v/>
      </c>
    </row>
    <row r="400" spans="8:15" x14ac:dyDescent="0.3">
      <c r="H400" s="19" t="str">
        <f t="shared" si="48"/>
        <v/>
      </c>
      <c r="I400" s="19" t="str">
        <f t="shared" si="49"/>
        <v/>
      </c>
      <c r="J400" s="19" t="str">
        <f t="shared" si="50"/>
        <v/>
      </c>
      <c r="K400" s="19" t="str">
        <f t="shared" si="51"/>
        <v/>
      </c>
      <c r="L400" s="19" t="str">
        <f t="shared" si="52"/>
        <v/>
      </c>
      <c r="M400" s="19" t="str">
        <f t="shared" si="53"/>
        <v/>
      </c>
      <c r="N400" s="20" t="str">
        <f t="shared" si="54"/>
        <v/>
      </c>
      <c r="O400" t="str">
        <f t="shared" si="55"/>
        <v/>
      </c>
    </row>
    <row r="401" spans="8:15" x14ac:dyDescent="0.3">
      <c r="H401" s="19" t="str">
        <f t="shared" si="48"/>
        <v/>
      </c>
      <c r="I401" s="19" t="str">
        <f t="shared" si="49"/>
        <v/>
      </c>
      <c r="J401" s="19" t="str">
        <f t="shared" si="50"/>
        <v/>
      </c>
      <c r="K401" s="19" t="str">
        <f t="shared" si="51"/>
        <v/>
      </c>
      <c r="L401" s="19" t="str">
        <f t="shared" si="52"/>
        <v/>
      </c>
      <c r="M401" s="19" t="str">
        <f t="shared" si="53"/>
        <v/>
      </c>
      <c r="N401" s="20" t="str">
        <f t="shared" si="54"/>
        <v/>
      </c>
      <c r="O401" t="str">
        <f t="shared" si="55"/>
        <v/>
      </c>
    </row>
    <row r="402" spans="8:15" x14ac:dyDescent="0.3">
      <c r="H402" s="19" t="str">
        <f t="shared" si="48"/>
        <v/>
      </c>
      <c r="I402" s="19" t="str">
        <f t="shared" si="49"/>
        <v/>
      </c>
      <c r="J402" s="19" t="str">
        <f t="shared" si="50"/>
        <v/>
      </c>
      <c r="K402" s="19" t="str">
        <f t="shared" si="51"/>
        <v/>
      </c>
      <c r="L402" s="19" t="str">
        <f t="shared" si="52"/>
        <v/>
      </c>
      <c r="M402" s="19" t="str">
        <f t="shared" si="53"/>
        <v/>
      </c>
      <c r="N402" s="20" t="str">
        <f t="shared" si="54"/>
        <v/>
      </c>
      <c r="O402" t="str">
        <f t="shared" si="55"/>
        <v/>
      </c>
    </row>
    <row r="403" spans="8:15" x14ac:dyDescent="0.3">
      <c r="H403" s="19" t="str">
        <f t="shared" si="48"/>
        <v/>
      </c>
      <c r="I403" s="19" t="str">
        <f t="shared" si="49"/>
        <v/>
      </c>
      <c r="J403" s="19" t="str">
        <f t="shared" si="50"/>
        <v/>
      </c>
      <c r="K403" s="19" t="str">
        <f t="shared" si="51"/>
        <v/>
      </c>
      <c r="L403" s="19" t="str">
        <f t="shared" si="52"/>
        <v/>
      </c>
      <c r="M403" s="19" t="str">
        <f t="shared" si="53"/>
        <v/>
      </c>
      <c r="N403" s="20" t="str">
        <f t="shared" si="54"/>
        <v/>
      </c>
      <c r="O403" t="str">
        <f t="shared" si="55"/>
        <v/>
      </c>
    </row>
    <row r="404" spans="8:15" x14ac:dyDescent="0.3">
      <c r="H404" s="19" t="str">
        <f t="shared" si="48"/>
        <v/>
      </c>
      <c r="I404" s="19" t="str">
        <f t="shared" si="49"/>
        <v/>
      </c>
      <c r="J404" s="19" t="str">
        <f t="shared" si="50"/>
        <v/>
      </c>
      <c r="K404" s="19" t="str">
        <f t="shared" si="51"/>
        <v/>
      </c>
      <c r="L404" s="19" t="str">
        <f t="shared" si="52"/>
        <v/>
      </c>
      <c r="M404" s="19" t="str">
        <f t="shared" si="53"/>
        <v/>
      </c>
      <c r="N404" s="20" t="str">
        <f t="shared" si="54"/>
        <v/>
      </c>
      <c r="O404" t="str">
        <f t="shared" si="55"/>
        <v/>
      </c>
    </row>
    <row r="405" spans="8:15" x14ac:dyDescent="0.3">
      <c r="H405" s="19" t="str">
        <f t="shared" si="48"/>
        <v/>
      </c>
      <c r="I405" s="19" t="str">
        <f t="shared" si="49"/>
        <v/>
      </c>
      <c r="J405" s="19" t="str">
        <f t="shared" si="50"/>
        <v/>
      </c>
      <c r="K405" s="19" t="str">
        <f t="shared" si="51"/>
        <v/>
      </c>
      <c r="L405" s="19" t="str">
        <f t="shared" si="52"/>
        <v/>
      </c>
      <c r="M405" s="19" t="str">
        <f t="shared" si="53"/>
        <v/>
      </c>
      <c r="N405" s="20" t="str">
        <f t="shared" si="54"/>
        <v/>
      </c>
      <c r="O405" t="str">
        <f t="shared" si="55"/>
        <v/>
      </c>
    </row>
    <row r="406" spans="8:15" x14ac:dyDescent="0.3">
      <c r="H406" s="19" t="str">
        <f t="shared" si="48"/>
        <v/>
      </c>
      <c r="I406" s="19" t="str">
        <f t="shared" si="49"/>
        <v/>
      </c>
      <c r="J406" s="19" t="str">
        <f t="shared" si="50"/>
        <v/>
      </c>
      <c r="K406" s="19" t="str">
        <f t="shared" si="51"/>
        <v/>
      </c>
      <c r="L406" s="19" t="str">
        <f t="shared" si="52"/>
        <v/>
      </c>
      <c r="M406" s="19" t="str">
        <f t="shared" si="53"/>
        <v/>
      </c>
      <c r="N406" s="20" t="str">
        <f t="shared" si="54"/>
        <v/>
      </c>
      <c r="O406" t="str">
        <f t="shared" si="55"/>
        <v/>
      </c>
    </row>
    <row r="407" spans="8:15" x14ac:dyDescent="0.3">
      <c r="H407" s="19" t="str">
        <f t="shared" si="48"/>
        <v/>
      </c>
      <c r="I407" s="19" t="str">
        <f t="shared" si="49"/>
        <v/>
      </c>
      <c r="J407" s="19" t="str">
        <f t="shared" si="50"/>
        <v/>
      </c>
      <c r="K407" s="19" t="str">
        <f t="shared" si="51"/>
        <v/>
      </c>
      <c r="L407" s="19" t="str">
        <f t="shared" si="52"/>
        <v/>
      </c>
      <c r="M407" s="19" t="str">
        <f t="shared" si="53"/>
        <v/>
      </c>
      <c r="N407" s="20" t="str">
        <f t="shared" si="54"/>
        <v/>
      </c>
      <c r="O407" t="str">
        <f t="shared" si="55"/>
        <v/>
      </c>
    </row>
    <row r="408" spans="8:15" x14ac:dyDescent="0.3">
      <c r="H408" s="19" t="str">
        <f t="shared" si="48"/>
        <v/>
      </c>
      <c r="I408" s="19" t="str">
        <f t="shared" si="49"/>
        <v/>
      </c>
      <c r="J408" s="19" t="str">
        <f t="shared" si="50"/>
        <v/>
      </c>
      <c r="K408" s="19" t="str">
        <f t="shared" si="51"/>
        <v/>
      </c>
      <c r="L408" s="19" t="str">
        <f t="shared" si="52"/>
        <v/>
      </c>
      <c r="M408" s="19" t="str">
        <f t="shared" si="53"/>
        <v/>
      </c>
      <c r="N408" s="20" t="str">
        <f t="shared" si="54"/>
        <v/>
      </c>
      <c r="O408" t="str">
        <f t="shared" si="55"/>
        <v/>
      </c>
    </row>
    <row r="409" spans="8:15" x14ac:dyDescent="0.3">
      <c r="H409" s="19" t="str">
        <f t="shared" si="48"/>
        <v/>
      </c>
      <c r="I409" s="19" t="str">
        <f t="shared" si="49"/>
        <v/>
      </c>
      <c r="J409" s="19" t="str">
        <f t="shared" si="50"/>
        <v/>
      </c>
      <c r="K409" s="19" t="str">
        <f t="shared" si="51"/>
        <v/>
      </c>
      <c r="L409" s="19" t="str">
        <f t="shared" si="52"/>
        <v/>
      </c>
      <c r="M409" s="19" t="str">
        <f t="shared" si="53"/>
        <v/>
      </c>
      <c r="N409" s="20" t="str">
        <f t="shared" si="54"/>
        <v/>
      </c>
      <c r="O409" t="str">
        <f t="shared" si="55"/>
        <v/>
      </c>
    </row>
    <row r="410" spans="8:15" x14ac:dyDescent="0.3">
      <c r="H410" s="19" t="str">
        <f t="shared" si="48"/>
        <v/>
      </c>
      <c r="I410" s="19" t="str">
        <f t="shared" si="49"/>
        <v/>
      </c>
      <c r="J410" s="19" t="str">
        <f t="shared" si="50"/>
        <v/>
      </c>
      <c r="K410" s="19" t="str">
        <f t="shared" si="51"/>
        <v/>
      </c>
      <c r="L410" s="19" t="str">
        <f t="shared" si="52"/>
        <v/>
      </c>
      <c r="M410" s="19" t="str">
        <f t="shared" si="53"/>
        <v/>
      </c>
      <c r="N410" s="20" t="str">
        <f t="shared" si="54"/>
        <v/>
      </c>
      <c r="O410" t="str">
        <f t="shared" si="55"/>
        <v/>
      </c>
    </row>
    <row r="411" spans="8:15" x14ac:dyDescent="0.3">
      <c r="H411" s="19" t="str">
        <f t="shared" si="48"/>
        <v/>
      </c>
      <c r="I411" s="19" t="str">
        <f t="shared" si="49"/>
        <v/>
      </c>
      <c r="J411" s="19" t="str">
        <f t="shared" si="50"/>
        <v/>
      </c>
      <c r="K411" s="19" t="str">
        <f t="shared" si="51"/>
        <v/>
      </c>
      <c r="L411" s="19" t="str">
        <f t="shared" si="52"/>
        <v/>
      </c>
      <c r="M411" s="19" t="str">
        <f t="shared" si="53"/>
        <v/>
      </c>
      <c r="N411" s="20" t="str">
        <f t="shared" si="54"/>
        <v/>
      </c>
      <c r="O411" t="str">
        <f t="shared" si="55"/>
        <v/>
      </c>
    </row>
    <row r="412" spans="8:15" x14ac:dyDescent="0.3">
      <c r="H412" s="19" t="str">
        <f t="shared" si="48"/>
        <v/>
      </c>
      <c r="I412" s="19" t="str">
        <f t="shared" si="49"/>
        <v/>
      </c>
      <c r="J412" s="19" t="str">
        <f t="shared" si="50"/>
        <v/>
      </c>
      <c r="K412" s="19" t="str">
        <f t="shared" si="51"/>
        <v/>
      </c>
      <c r="L412" s="19" t="str">
        <f t="shared" si="52"/>
        <v/>
      </c>
      <c r="M412" s="19" t="str">
        <f t="shared" si="53"/>
        <v/>
      </c>
      <c r="N412" s="20" t="str">
        <f t="shared" si="54"/>
        <v/>
      </c>
      <c r="O412" t="str">
        <f t="shared" si="55"/>
        <v/>
      </c>
    </row>
    <row r="413" spans="8:15" x14ac:dyDescent="0.3">
      <c r="H413" s="19" t="str">
        <f t="shared" si="48"/>
        <v/>
      </c>
      <c r="I413" s="19" t="str">
        <f t="shared" si="49"/>
        <v/>
      </c>
      <c r="J413" s="19" t="str">
        <f t="shared" si="50"/>
        <v/>
      </c>
      <c r="K413" s="19" t="str">
        <f t="shared" si="51"/>
        <v/>
      </c>
      <c r="L413" s="19" t="str">
        <f t="shared" si="52"/>
        <v/>
      </c>
      <c r="M413" s="19" t="str">
        <f t="shared" si="53"/>
        <v/>
      </c>
      <c r="N413" s="20" t="str">
        <f t="shared" si="54"/>
        <v/>
      </c>
      <c r="O413" t="str">
        <f t="shared" si="55"/>
        <v/>
      </c>
    </row>
    <row r="414" spans="8:15" x14ac:dyDescent="0.3">
      <c r="H414" s="19" t="str">
        <f t="shared" si="48"/>
        <v/>
      </c>
      <c r="I414" s="19" t="str">
        <f t="shared" si="49"/>
        <v/>
      </c>
      <c r="J414" s="19" t="str">
        <f t="shared" si="50"/>
        <v/>
      </c>
      <c r="K414" s="19" t="str">
        <f t="shared" si="51"/>
        <v/>
      </c>
      <c r="L414" s="19" t="str">
        <f t="shared" si="52"/>
        <v/>
      </c>
      <c r="M414" s="19" t="str">
        <f t="shared" si="53"/>
        <v/>
      </c>
      <c r="N414" s="20" t="str">
        <f t="shared" si="54"/>
        <v/>
      </c>
      <c r="O414" t="str">
        <f t="shared" si="55"/>
        <v/>
      </c>
    </row>
    <row r="415" spans="8:15" x14ac:dyDescent="0.3">
      <c r="H415" s="19" t="str">
        <f t="shared" si="48"/>
        <v/>
      </c>
      <c r="I415" s="19" t="str">
        <f t="shared" si="49"/>
        <v/>
      </c>
      <c r="J415" s="19" t="str">
        <f t="shared" si="50"/>
        <v/>
      </c>
      <c r="K415" s="19" t="str">
        <f t="shared" si="51"/>
        <v/>
      </c>
      <c r="L415" s="19" t="str">
        <f t="shared" si="52"/>
        <v/>
      </c>
      <c r="M415" s="19" t="str">
        <f t="shared" si="53"/>
        <v/>
      </c>
      <c r="N415" s="20" t="str">
        <f t="shared" si="54"/>
        <v/>
      </c>
      <c r="O415" t="str">
        <f t="shared" si="55"/>
        <v/>
      </c>
    </row>
    <row r="416" spans="8:15" x14ac:dyDescent="0.3">
      <c r="H416" s="19" t="str">
        <f t="shared" si="48"/>
        <v/>
      </c>
      <c r="I416" s="19" t="str">
        <f t="shared" si="49"/>
        <v/>
      </c>
      <c r="J416" s="19" t="str">
        <f t="shared" si="50"/>
        <v/>
      </c>
      <c r="K416" s="19" t="str">
        <f t="shared" si="51"/>
        <v/>
      </c>
      <c r="L416" s="19" t="str">
        <f t="shared" si="52"/>
        <v/>
      </c>
      <c r="M416" s="19" t="str">
        <f t="shared" si="53"/>
        <v/>
      </c>
      <c r="N416" s="20" t="str">
        <f t="shared" si="54"/>
        <v/>
      </c>
      <c r="O416" t="str">
        <f t="shared" si="55"/>
        <v/>
      </c>
    </row>
    <row r="417" spans="8:15" x14ac:dyDescent="0.3">
      <c r="H417" s="19" t="str">
        <f t="shared" si="48"/>
        <v/>
      </c>
      <c r="I417" s="19" t="str">
        <f t="shared" si="49"/>
        <v/>
      </c>
      <c r="J417" s="19" t="str">
        <f t="shared" si="50"/>
        <v/>
      </c>
      <c r="K417" s="19" t="str">
        <f t="shared" si="51"/>
        <v/>
      </c>
      <c r="L417" s="19" t="str">
        <f t="shared" si="52"/>
        <v/>
      </c>
      <c r="M417" s="19" t="str">
        <f t="shared" si="53"/>
        <v/>
      </c>
      <c r="N417" s="20" t="str">
        <f t="shared" si="54"/>
        <v/>
      </c>
      <c r="O417" t="str">
        <f t="shared" si="55"/>
        <v/>
      </c>
    </row>
    <row r="418" spans="8:15" x14ac:dyDescent="0.3">
      <c r="H418" s="19" t="str">
        <f t="shared" si="48"/>
        <v/>
      </c>
      <c r="I418" s="19" t="str">
        <f t="shared" si="49"/>
        <v/>
      </c>
      <c r="J418" s="19" t="str">
        <f t="shared" si="50"/>
        <v/>
      </c>
      <c r="K418" s="19" t="str">
        <f t="shared" si="51"/>
        <v/>
      </c>
      <c r="L418" s="19" t="str">
        <f t="shared" si="52"/>
        <v/>
      </c>
      <c r="M418" s="19" t="str">
        <f t="shared" si="53"/>
        <v/>
      </c>
      <c r="N418" s="20" t="str">
        <f t="shared" si="54"/>
        <v/>
      </c>
      <c r="O418" t="str">
        <f t="shared" si="55"/>
        <v/>
      </c>
    </row>
    <row r="419" spans="8:15" x14ac:dyDescent="0.3">
      <c r="H419" s="19" t="str">
        <f t="shared" si="48"/>
        <v/>
      </c>
      <c r="I419" s="19" t="str">
        <f t="shared" si="49"/>
        <v/>
      </c>
      <c r="J419" s="19" t="str">
        <f t="shared" si="50"/>
        <v/>
      </c>
      <c r="K419" s="19" t="str">
        <f t="shared" si="51"/>
        <v/>
      </c>
      <c r="L419" s="19" t="str">
        <f t="shared" si="52"/>
        <v/>
      </c>
      <c r="M419" s="19" t="str">
        <f t="shared" si="53"/>
        <v/>
      </c>
      <c r="N419" s="20" t="str">
        <f t="shared" si="54"/>
        <v/>
      </c>
      <c r="O419" t="str">
        <f t="shared" si="55"/>
        <v/>
      </c>
    </row>
    <row r="420" spans="8:15" x14ac:dyDescent="0.3">
      <c r="H420" s="19" t="str">
        <f t="shared" si="48"/>
        <v/>
      </c>
      <c r="I420" s="19" t="str">
        <f t="shared" si="49"/>
        <v/>
      </c>
      <c r="J420" s="19" t="str">
        <f t="shared" si="50"/>
        <v/>
      </c>
      <c r="K420" s="19" t="str">
        <f t="shared" si="51"/>
        <v/>
      </c>
      <c r="L420" s="19" t="str">
        <f t="shared" si="52"/>
        <v/>
      </c>
      <c r="M420" s="19" t="str">
        <f t="shared" si="53"/>
        <v/>
      </c>
      <c r="N420" s="20" t="str">
        <f t="shared" si="54"/>
        <v/>
      </c>
      <c r="O420" t="str">
        <f t="shared" si="55"/>
        <v/>
      </c>
    </row>
    <row r="421" spans="8:15" x14ac:dyDescent="0.3">
      <c r="H421" s="19" t="str">
        <f t="shared" si="48"/>
        <v/>
      </c>
      <c r="I421" s="19" t="str">
        <f t="shared" si="49"/>
        <v/>
      </c>
      <c r="J421" s="19" t="str">
        <f t="shared" si="50"/>
        <v/>
      </c>
      <c r="K421" s="19" t="str">
        <f t="shared" si="51"/>
        <v/>
      </c>
      <c r="L421" s="19" t="str">
        <f t="shared" si="52"/>
        <v/>
      </c>
      <c r="M421" s="19" t="str">
        <f t="shared" si="53"/>
        <v/>
      </c>
      <c r="N421" s="20" t="str">
        <f t="shared" si="54"/>
        <v/>
      </c>
      <c r="O421" t="str">
        <f t="shared" si="55"/>
        <v/>
      </c>
    </row>
    <row r="422" spans="8:15" x14ac:dyDescent="0.3">
      <c r="H422" s="19" t="str">
        <f t="shared" si="48"/>
        <v/>
      </c>
      <c r="I422" s="19" t="str">
        <f t="shared" si="49"/>
        <v/>
      </c>
      <c r="J422" s="19" t="str">
        <f t="shared" si="50"/>
        <v/>
      </c>
      <c r="K422" s="19" t="str">
        <f t="shared" si="51"/>
        <v/>
      </c>
      <c r="L422" s="19" t="str">
        <f t="shared" si="52"/>
        <v/>
      </c>
      <c r="M422" s="19" t="str">
        <f t="shared" si="53"/>
        <v/>
      </c>
      <c r="N422" s="20" t="str">
        <f t="shared" si="54"/>
        <v/>
      </c>
      <c r="O422" t="str">
        <f t="shared" si="55"/>
        <v/>
      </c>
    </row>
    <row r="423" spans="8:15" x14ac:dyDescent="0.3">
      <c r="H423" s="19" t="str">
        <f t="shared" si="48"/>
        <v/>
      </c>
      <c r="I423" s="19" t="str">
        <f t="shared" si="49"/>
        <v/>
      </c>
      <c r="J423" s="19" t="str">
        <f t="shared" si="50"/>
        <v/>
      </c>
      <c r="K423" s="19" t="str">
        <f t="shared" si="51"/>
        <v/>
      </c>
      <c r="L423" s="19" t="str">
        <f t="shared" si="52"/>
        <v/>
      </c>
      <c r="M423" s="19" t="str">
        <f t="shared" si="53"/>
        <v/>
      </c>
      <c r="N423" s="20" t="str">
        <f t="shared" si="54"/>
        <v/>
      </c>
      <c r="O423" t="str">
        <f t="shared" si="55"/>
        <v/>
      </c>
    </row>
    <row r="424" spans="8:15" x14ac:dyDescent="0.3">
      <c r="H424" s="19" t="str">
        <f t="shared" si="48"/>
        <v/>
      </c>
      <c r="I424" s="19" t="str">
        <f t="shared" si="49"/>
        <v/>
      </c>
      <c r="J424" s="19" t="str">
        <f t="shared" si="50"/>
        <v/>
      </c>
      <c r="K424" s="19" t="str">
        <f t="shared" si="51"/>
        <v/>
      </c>
      <c r="L424" s="19" t="str">
        <f t="shared" si="52"/>
        <v/>
      </c>
      <c r="M424" s="19" t="str">
        <f t="shared" si="53"/>
        <v/>
      </c>
      <c r="N424" s="20" t="str">
        <f t="shared" si="54"/>
        <v/>
      </c>
      <c r="O424" t="str">
        <f t="shared" si="55"/>
        <v/>
      </c>
    </row>
    <row r="425" spans="8:15" x14ac:dyDescent="0.3">
      <c r="H425" s="19" t="str">
        <f t="shared" si="48"/>
        <v/>
      </c>
      <c r="I425" s="19" t="str">
        <f t="shared" si="49"/>
        <v/>
      </c>
      <c r="J425" s="19" t="str">
        <f t="shared" si="50"/>
        <v/>
      </c>
      <c r="K425" s="19" t="str">
        <f t="shared" si="51"/>
        <v/>
      </c>
      <c r="L425" s="19" t="str">
        <f t="shared" si="52"/>
        <v/>
      </c>
      <c r="M425" s="19" t="str">
        <f t="shared" si="53"/>
        <v/>
      </c>
      <c r="N425" s="20" t="str">
        <f t="shared" si="54"/>
        <v/>
      </c>
      <c r="O425" t="str">
        <f t="shared" si="55"/>
        <v/>
      </c>
    </row>
    <row r="426" spans="8:15" x14ac:dyDescent="0.3">
      <c r="H426" s="19" t="str">
        <f t="shared" si="48"/>
        <v/>
      </c>
      <c r="I426" s="19" t="str">
        <f t="shared" si="49"/>
        <v/>
      </c>
      <c r="J426" s="19" t="str">
        <f t="shared" si="50"/>
        <v/>
      </c>
      <c r="K426" s="19" t="str">
        <f t="shared" si="51"/>
        <v/>
      </c>
      <c r="L426" s="19" t="str">
        <f t="shared" si="52"/>
        <v/>
      </c>
      <c r="M426" s="19" t="str">
        <f t="shared" si="53"/>
        <v/>
      </c>
      <c r="N426" s="20" t="str">
        <f t="shared" si="54"/>
        <v/>
      </c>
      <c r="O426" t="str">
        <f t="shared" si="55"/>
        <v/>
      </c>
    </row>
    <row r="427" spans="8:15" x14ac:dyDescent="0.3">
      <c r="H427" s="19" t="str">
        <f t="shared" si="48"/>
        <v/>
      </c>
      <c r="I427" s="19" t="str">
        <f t="shared" si="49"/>
        <v/>
      </c>
      <c r="J427" s="19" t="str">
        <f t="shared" si="50"/>
        <v/>
      </c>
      <c r="K427" s="19" t="str">
        <f t="shared" si="51"/>
        <v/>
      </c>
      <c r="L427" s="19" t="str">
        <f t="shared" si="52"/>
        <v/>
      </c>
      <c r="M427" s="19" t="str">
        <f t="shared" si="53"/>
        <v/>
      </c>
      <c r="N427" s="20" t="str">
        <f t="shared" si="54"/>
        <v/>
      </c>
      <c r="O427" t="str">
        <f t="shared" si="55"/>
        <v/>
      </c>
    </row>
    <row r="428" spans="8:15" x14ac:dyDescent="0.3">
      <c r="H428" s="19" t="str">
        <f t="shared" si="48"/>
        <v/>
      </c>
      <c r="I428" s="19" t="str">
        <f t="shared" si="49"/>
        <v/>
      </c>
      <c r="J428" s="19" t="str">
        <f t="shared" si="50"/>
        <v/>
      </c>
      <c r="K428" s="19" t="str">
        <f t="shared" si="51"/>
        <v/>
      </c>
      <c r="L428" s="19" t="str">
        <f t="shared" si="52"/>
        <v/>
      </c>
      <c r="M428" s="19" t="str">
        <f t="shared" si="53"/>
        <v/>
      </c>
      <c r="N428" s="20" t="str">
        <f t="shared" si="54"/>
        <v/>
      </c>
      <c r="O428" t="str">
        <f t="shared" si="55"/>
        <v/>
      </c>
    </row>
    <row r="429" spans="8:15" x14ac:dyDescent="0.3">
      <c r="H429" s="19" t="str">
        <f t="shared" si="48"/>
        <v/>
      </c>
      <c r="I429" s="19" t="str">
        <f t="shared" si="49"/>
        <v/>
      </c>
      <c r="J429" s="19" t="str">
        <f t="shared" si="50"/>
        <v/>
      </c>
      <c r="K429" s="19" t="str">
        <f t="shared" si="51"/>
        <v/>
      </c>
      <c r="L429" s="19" t="str">
        <f t="shared" si="52"/>
        <v/>
      </c>
      <c r="M429" s="19" t="str">
        <f t="shared" si="53"/>
        <v/>
      </c>
      <c r="N429" s="20" t="str">
        <f t="shared" si="54"/>
        <v/>
      </c>
      <c r="O429" t="str">
        <f t="shared" si="55"/>
        <v/>
      </c>
    </row>
    <row r="430" spans="8:15" x14ac:dyDescent="0.3">
      <c r="H430" s="19" t="str">
        <f t="shared" si="48"/>
        <v/>
      </c>
      <c r="I430" s="19" t="str">
        <f t="shared" si="49"/>
        <v/>
      </c>
      <c r="J430" s="19" t="str">
        <f t="shared" si="50"/>
        <v/>
      </c>
      <c r="K430" s="19" t="str">
        <f t="shared" si="51"/>
        <v/>
      </c>
      <c r="L430" s="19" t="str">
        <f t="shared" si="52"/>
        <v/>
      </c>
      <c r="M430" s="19" t="str">
        <f t="shared" si="53"/>
        <v/>
      </c>
      <c r="N430" s="20" t="str">
        <f t="shared" si="54"/>
        <v/>
      </c>
      <c r="O430" t="str">
        <f t="shared" si="55"/>
        <v/>
      </c>
    </row>
    <row r="431" spans="8:15" x14ac:dyDescent="0.3">
      <c r="H431" s="19" t="str">
        <f t="shared" si="48"/>
        <v/>
      </c>
      <c r="I431" s="19" t="str">
        <f t="shared" si="49"/>
        <v/>
      </c>
      <c r="J431" s="19" t="str">
        <f t="shared" si="50"/>
        <v/>
      </c>
      <c r="K431" s="19" t="str">
        <f t="shared" si="51"/>
        <v/>
      </c>
      <c r="L431" s="19" t="str">
        <f t="shared" si="52"/>
        <v/>
      </c>
      <c r="M431" s="19" t="str">
        <f t="shared" si="53"/>
        <v/>
      </c>
      <c r="N431" s="20" t="str">
        <f t="shared" si="54"/>
        <v/>
      </c>
      <c r="O431" t="str">
        <f t="shared" si="55"/>
        <v/>
      </c>
    </row>
    <row r="432" spans="8:15" x14ac:dyDescent="0.3">
      <c r="H432" s="19" t="str">
        <f t="shared" si="48"/>
        <v/>
      </c>
      <c r="I432" s="19" t="str">
        <f t="shared" si="49"/>
        <v/>
      </c>
      <c r="J432" s="19" t="str">
        <f t="shared" si="50"/>
        <v/>
      </c>
      <c r="K432" s="19" t="str">
        <f t="shared" si="51"/>
        <v/>
      </c>
      <c r="L432" s="19" t="str">
        <f t="shared" si="52"/>
        <v/>
      </c>
      <c r="M432" s="19" t="str">
        <f t="shared" si="53"/>
        <v/>
      </c>
      <c r="N432" s="20" t="str">
        <f t="shared" si="54"/>
        <v/>
      </c>
      <c r="O432" t="str">
        <f t="shared" si="55"/>
        <v/>
      </c>
    </row>
    <row r="433" spans="8:15" x14ac:dyDescent="0.3">
      <c r="H433" s="19" t="str">
        <f t="shared" si="48"/>
        <v/>
      </c>
      <c r="I433" s="19" t="str">
        <f t="shared" si="49"/>
        <v/>
      </c>
      <c r="J433" s="19" t="str">
        <f t="shared" si="50"/>
        <v/>
      </c>
      <c r="K433" s="19" t="str">
        <f t="shared" si="51"/>
        <v/>
      </c>
      <c r="L433" s="19" t="str">
        <f t="shared" si="52"/>
        <v/>
      </c>
      <c r="M433" s="19" t="str">
        <f t="shared" si="53"/>
        <v/>
      </c>
      <c r="N433" s="20" t="str">
        <f t="shared" si="54"/>
        <v/>
      </c>
      <c r="O433" t="str">
        <f t="shared" si="55"/>
        <v/>
      </c>
    </row>
    <row r="434" spans="8:15" x14ac:dyDescent="0.3">
      <c r="H434" s="19" t="str">
        <f t="shared" si="48"/>
        <v/>
      </c>
      <c r="I434" s="19" t="str">
        <f t="shared" si="49"/>
        <v/>
      </c>
      <c r="J434" s="19" t="str">
        <f t="shared" si="50"/>
        <v/>
      </c>
      <c r="K434" s="19" t="str">
        <f t="shared" si="51"/>
        <v/>
      </c>
      <c r="L434" s="19" t="str">
        <f t="shared" si="52"/>
        <v/>
      </c>
      <c r="M434" s="19" t="str">
        <f t="shared" si="53"/>
        <v/>
      </c>
      <c r="N434" s="20" t="str">
        <f t="shared" si="54"/>
        <v/>
      </c>
      <c r="O434" t="str">
        <f t="shared" si="55"/>
        <v/>
      </c>
    </row>
    <row r="435" spans="8:15" x14ac:dyDescent="0.3">
      <c r="H435" s="19" t="str">
        <f t="shared" si="48"/>
        <v/>
      </c>
      <c r="I435" s="19" t="str">
        <f t="shared" si="49"/>
        <v/>
      </c>
      <c r="J435" s="19" t="str">
        <f t="shared" si="50"/>
        <v/>
      </c>
      <c r="K435" s="19" t="str">
        <f t="shared" si="51"/>
        <v/>
      </c>
      <c r="L435" s="19" t="str">
        <f t="shared" si="52"/>
        <v/>
      </c>
      <c r="M435" s="19" t="str">
        <f t="shared" si="53"/>
        <v/>
      </c>
      <c r="N435" s="20" t="str">
        <f t="shared" si="54"/>
        <v/>
      </c>
      <c r="O435" t="str">
        <f t="shared" si="55"/>
        <v/>
      </c>
    </row>
    <row r="436" spans="8:15" x14ac:dyDescent="0.3">
      <c r="H436" s="19" t="str">
        <f t="shared" si="48"/>
        <v/>
      </c>
      <c r="I436" s="19" t="str">
        <f t="shared" si="49"/>
        <v/>
      </c>
      <c r="J436" s="19" t="str">
        <f t="shared" si="50"/>
        <v/>
      </c>
      <c r="K436" s="19" t="str">
        <f t="shared" si="51"/>
        <v/>
      </c>
      <c r="L436" s="19" t="str">
        <f t="shared" si="52"/>
        <v/>
      </c>
      <c r="M436" s="19" t="str">
        <f t="shared" si="53"/>
        <v/>
      </c>
      <c r="N436" s="20" t="str">
        <f t="shared" si="54"/>
        <v/>
      </c>
      <c r="O436" t="str">
        <f t="shared" si="55"/>
        <v/>
      </c>
    </row>
    <row r="437" spans="8:15" x14ac:dyDescent="0.3">
      <c r="H437" s="19" t="str">
        <f t="shared" si="48"/>
        <v/>
      </c>
      <c r="I437" s="19" t="str">
        <f t="shared" si="49"/>
        <v/>
      </c>
      <c r="J437" s="19" t="str">
        <f t="shared" si="50"/>
        <v/>
      </c>
      <c r="K437" s="19" t="str">
        <f t="shared" si="51"/>
        <v/>
      </c>
      <c r="L437" s="19" t="str">
        <f t="shared" si="52"/>
        <v/>
      </c>
      <c r="M437" s="19" t="str">
        <f t="shared" si="53"/>
        <v/>
      </c>
      <c r="N437" s="20" t="str">
        <f t="shared" si="54"/>
        <v/>
      </c>
      <c r="O437" t="str">
        <f t="shared" si="55"/>
        <v/>
      </c>
    </row>
    <row r="438" spans="8:15" x14ac:dyDescent="0.3">
      <c r="H438" s="19" t="str">
        <f t="shared" si="48"/>
        <v/>
      </c>
      <c r="I438" s="19" t="str">
        <f t="shared" si="49"/>
        <v/>
      </c>
      <c r="J438" s="19" t="str">
        <f t="shared" si="50"/>
        <v/>
      </c>
      <c r="K438" s="19" t="str">
        <f t="shared" si="51"/>
        <v/>
      </c>
      <c r="L438" s="19" t="str">
        <f t="shared" si="52"/>
        <v/>
      </c>
      <c r="M438" s="19" t="str">
        <f t="shared" si="53"/>
        <v/>
      </c>
      <c r="N438" s="20" t="str">
        <f t="shared" si="54"/>
        <v/>
      </c>
      <c r="O438" t="str">
        <f t="shared" si="55"/>
        <v/>
      </c>
    </row>
    <row r="439" spans="8:15" x14ac:dyDescent="0.3">
      <c r="H439" s="19" t="str">
        <f t="shared" si="48"/>
        <v/>
      </c>
      <c r="I439" s="19" t="str">
        <f t="shared" si="49"/>
        <v/>
      </c>
      <c r="J439" s="19" t="str">
        <f t="shared" si="50"/>
        <v/>
      </c>
      <c r="K439" s="19" t="str">
        <f t="shared" si="51"/>
        <v/>
      </c>
      <c r="L439" s="19" t="str">
        <f t="shared" si="52"/>
        <v/>
      </c>
      <c r="M439" s="19" t="str">
        <f t="shared" si="53"/>
        <v/>
      </c>
      <c r="N439" s="20" t="str">
        <f t="shared" si="54"/>
        <v/>
      </c>
      <c r="O439" t="str">
        <f t="shared" si="55"/>
        <v/>
      </c>
    </row>
    <row r="440" spans="8:15" x14ac:dyDescent="0.3">
      <c r="H440" s="19" t="str">
        <f t="shared" si="48"/>
        <v/>
      </c>
      <c r="I440" s="19" t="str">
        <f t="shared" si="49"/>
        <v/>
      </c>
      <c r="J440" s="19" t="str">
        <f t="shared" si="50"/>
        <v/>
      </c>
      <c r="K440" s="19" t="str">
        <f t="shared" si="51"/>
        <v/>
      </c>
      <c r="L440" s="19" t="str">
        <f t="shared" si="52"/>
        <v/>
      </c>
      <c r="M440" s="19" t="str">
        <f t="shared" si="53"/>
        <v/>
      </c>
      <c r="N440" s="20" t="str">
        <f t="shared" si="54"/>
        <v/>
      </c>
      <c r="O440" t="str">
        <f t="shared" si="55"/>
        <v/>
      </c>
    </row>
    <row r="441" spans="8:15" x14ac:dyDescent="0.3">
      <c r="H441" s="19" t="str">
        <f t="shared" si="48"/>
        <v/>
      </c>
      <c r="I441" s="19" t="str">
        <f t="shared" si="49"/>
        <v/>
      </c>
      <c r="J441" s="19" t="str">
        <f t="shared" si="50"/>
        <v/>
      </c>
      <c r="K441" s="19" t="str">
        <f t="shared" si="51"/>
        <v/>
      </c>
      <c r="L441" s="19" t="str">
        <f t="shared" si="52"/>
        <v/>
      </c>
      <c r="M441" s="19" t="str">
        <f t="shared" si="53"/>
        <v/>
      </c>
      <c r="N441" s="20" t="str">
        <f t="shared" si="54"/>
        <v/>
      </c>
      <c r="O441" t="str">
        <f t="shared" si="55"/>
        <v/>
      </c>
    </row>
    <row r="442" spans="8:15" x14ac:dyDescent="0.3">
      <c r="H442" s="19" t="str">
        <f t="shared" si="48"/>
        <v/>
      </c>
      <c r="I442" s="19" t="str">
        <f t="shared" si="49"/>
        <v/>
      </c>
      <c r="J442" s="19" t="str">
        <f t="shared" si="50"/>
        <v/>
      </c>
      <c r="K442" s="19" t="str">
        <f t="shared" si="51"/>
        <v/>
      </c>
      <c r="L442" s="19" t="str">
        <f t="shared" si="52"/>
        <v/>
      </c>
      <c r="M442" s="19" t="str">
        <f t="shared" si="53"/>
        <v/>
      </c>
      <c r="N442" s="20" t="str">
        <f t="shared" si="54"/>
        <v/>
      </c>
      <c r="O442" t="str">
        <f t="shared" si="55"/>
        <v/>
      </c>
    </row>
    <row r="443" spans="8:15" x14ac:dyDescent="0.3">
      <c r="H443" s="19" t="str">
        <f t="shared" si="48"/>
        <v/>
      </c>
      <c r="I443" s="19" t="str">
        <f t="shared" si="49"/>
        <v/>
      </c>
      <c r="J443" s="19" t="str">
        <f t="shared" si="50"/>
        <v/>
      </c>
      <c r="K443" s="19" t="str">
        <f t="shared" si="51"/>
        <v/>
      </c>
      <c r="L443" s="19" t="str">
        <f t="shared" si="52"/>
        <v/>
      </c>
      <c r="M443" s="19" t="str">
        <f t="shared" si="53"/>
        <v/>
      </c>
      <c r="N443" s="20" t="str">
        <f t="shared" si="54"/>
        <v/>
      </c>
      <c r="O443" t="str">
        <f t="shared" si="55"/>
        <v/>
      </c>
    </row>
    <row r="444" spans="8:15" x14ac:dyDescent="0.3">
      <c r="H444" s="19" t="str">
        <f t="shared" si="48"/>
        <v/>
      </c>
      <c r="I444" s="19" t="str">
        <f t="shared" si="49"/>
        <v/>
      </c>
      <c r="J444" s="19" t="str">
        <f t="shared" si="50"/>
        <v/>
      </c>
      <c r="K444" s="19" t="str">
        <f t="shared" si="51"/>
        <v/>
      </c>
      <c r="L444" s="19" t="str">
        <f t="shared" si="52"/>
        <v/>
      </c>
      <c r="M444" s="19" t="str">
        <f t="shared" si="53"/>
        <v/>
      </c>
      <c r="N444" s="20" t="str">
        <f t="shared" si="54"/>
        <v/>
      </c>
      <c r="O444" t="str">
        <f t="shared" si="55"/>
        <v/>
      </c>
    </row>
    <row r="445" spans="8:15" x14ac:dyDescent="0.3">
      <c r="H445" s="19" t="str">
        <f t="shared" si="48"/>
        <v/>
      </c>
      <c r="I445" s="19" t="str">
        <f t="shared" si="49"/>
        <v/>
      </c>
      <c r="J445" s="19" t="str">
        <f t="shared" si="50"/>
        <v/>
      </c>
      <c r="K445" s="19" t="str">
        <f t="shared" si="51"/>
        <v/>
      </c>
      <c r="L445" s="19" t="str">
        <f t="shared" si="52"/>
        <v/>
      </c>
      <c r="M445" s="19" t="str">
        <f t="shared" si="53"/>
        <v/>
      </c>
      <c r="N445" s="20" t="str">
        <f t="shared" si="54"/>
        <v/>
      </c>
      <c r="O445" t="str">
        <f t="shared" si="55"/>
        <v/>
      </c>
    </row>
    <row r="446" spans="8:15" x14ac:dyDescent="0.3">
      <c r="H446" s="19" t="str">
        <f t="shared" si="48"/>
        <v/>
      </c>
      <c r="I446" s="19" t="str">
        <f t="shared" si="49"/>
        <v/>
      </c>
      <c r="J446" s="19" t="str">
        <f t="shared" si="50"/>
        <v/>
      </c>
      <c r="K446" s="19" t="str">
        <f t="shared" si="51"/>
        <v/>
      </c>
      <c r="L446" s="19" t="str">
        <f t="shared" si="52"/>
        <v/>
      </c>
      <c r="M446" s="19" t="str">
        <f t="shared" si="53"/>
        <v/>
      </c>
      <c r="N446" s="20" t="str">
        <f t="shared" si="54"/>
        <v/>
      </c>
      <c r="O446" t="str">
        <f t="shared" si="55"/>
        <v/>
      </c>
    </row>
    <row r="447" spans="8:15" x14ac:dyDescent="0.3">
      <c r="H447" s="19" t="str">
        <f t="shared" si="48"/>
        <v/>
      </c>
      <c r="I447" s="19" t="str">
        <f t="shared" si="49"/>
        <v/>
      </c>
      <c r="J447" s="19" t="str">
        <f t="shared" si="50"/>
        <v/>
      </c>
      <c r="K447" s="19" t="str">
        <f t="shared" si="51"/>
        <v/>
      </c>
      <c r="L447" s="19" t="str">
        <f t="shared" si="52"/>
        <v/>
      </c>
      <c r="M447" s="19" t="str">
        <f t="shared" si="53"/>
        <v/>
      </c>
      <c r="N447" s="20" t="str">
        <f t="shared" si="54"/>
        <v/>
      </c>
      <c r="O447" t="str">
        <f t="shared" si="55"/>
        <v/>
      </c>
    </row>
    <row r="448" spans="8:15" x14ac:dyDescent="0.3">
      <c r="H448" s="19" t="str">
        <f t="shared" si="48"/>
        <v/>
      </c>
      <c r="I448" s="19" t="str">
        <f t="shared" si="49"/>
        <v/>
      </c>
      <c r="J448" s="19" t="str">
        <f t="shared" si="50"/>
        <v/>
      </c>
      <c r="K448" s="19" t="str">
        <f t="shared" si="51"/>
        <v/>
      </c>
      <c r="L448" s="19" t="str">
        <f t="shared" si="52"/>
        <v/>
      </c>
      <c r="M448" s="19" t="str">
        <f t="shared" si="53"/>
        <v/>
      </c>
      <c r="N448" s="20" t="str">
        <f t="shared" si="54"/>
        <v/>
      </c>
      <c r="O448" t="str">
        <f t="shared" si="55"/>
        <v/>
      </c>
    </row>
    <row r="449" spans="8:15" x14ac:dyDescent="0.3">
      <c r="H449" s="19" t="str">
        <f t="shared" si="48"/>
        <v/>
      </c>
      <c r="I449" s="19" t="str">
        <f t="shared" si="49"/>
        <v/>
      </c>
      <c r="J449" s="19" t="str">
        <f t="shared" si="50"/>
        <v/>
      </c>
      <c r="K449" s="19" t="str">
        <f t="shared" si="51"/>
        <v/>
      </c>
      <c r="L449" s="19" t="str">
        <f t="shared" si="52"/>
        <v/>
      </c>
      <c r="M449" s="19" t="str">
        <f t="shared" si="53"/>
        <v/>
      </c>
      <c r="N449" s="20" t="str">
        <f t="shared" si="54"/>
        <v/>
      </c>
      <c r="O449" t="str">
        <f t="shared" si="55"/>
        <v/>
      </c>
    </row>
    <row r="450" spans="8:15" x14ac:dyDescent="0.3">
      <c r="H450" s="19" t="str">
        <f t="shared" si="48"/>
        <v/>
      </c>
      <c r="I450" s="19" t="str">
        <f t="shared" si="49"/>
        <v/>
      </c>
      <c r="J450" s="19" t="str">
        <f t="shared" si="50"/>
        <v/>
      </c>
      <c r="K450" s="19" t="str">
        <f t="shared" si="51"/>
        <v/>
      </c>
      <c r="L450" s="19" t="str">
        <f t="shared" si="52"/>
        <v/>
      </c>
      <c r="M450" s="19" t="str">
        <f t="shared" si="53"/>
        <v/>
      </c>
      <c r="N450" s="20" t="str">
        <f t="shared" si="54"/>
        <v/>
      </c>
      <c r="O450" t="str">
        <f t="shared" si="55"/>
        <v/>
      </c>
    </row>
    <row r="451" spans="8:15" x14ac:dyDescent="0.3">
      <c r="H451" s="19" t="str">
        <f t="shared" ref="H451:H500" si="56">IF(AND(B451&lt;&gt;"",D451&lt;&gt;""),D451/1.6021766341/B451,"")</f>
        <v/>
      </c>
      <c r="I451" s="19" t="str">
        <f t="shared" ref="I451:I500" si="57">IF(AND(B451&lt;&gt;"",D451&lt;&gt;"",C451&lt;&gt;""),D451*C451^2*0.000001,"")</f>
        <v/>
      </c>
      <c r="J451" s="19" t="str">
        <f t="shared" ref="J451:J500" si="58">IF(AND(A451&lt;&gt;"",B451&lt;&gt;"",C451&lt;&gt;""),(B451/2.509412225*(EXP(C451/86.17333262-2)-1.075*EXP(-2)))^(2/3)*300/A451,"")</f>
        <v/>
      </c>
      <c r="K451" s="19" t="str">
        <f t="shared" ref="K451:K500" si="59">IF(J451&lt;&gt;"",H451*(1+(J451*A451/300)^(-3/2)*B451/(2*2.509412225))^(1/3),"")</f>
        <v/>
      </c>
      <c r="L451" s="19" t="str">
        <f t="shared" ref="L451:L500" si="60">IF(AND(A451&lt;&gt;"",M451&lt;&gt;""),M451*(300/A451)^(3/2),"")</f>
        <v/>
      </c>
      <c r="M451" s="19" t="str">
        <f t="shared" ref="M451:M500" si="61">IF(AND(C451&lt;&gt;"",D451&lt;&gt;""),D451/4.02052163221989*(EXP(C451/86.17333262-2)-1.075*EXP(-2))*(1+0.5/(EXP(C451/86.17333262-2)-1.075*EXP(-2)))^(1/3),"")</f>
        <v/>
      </c>
      <c r="N451" s="20" t="str">
        <f t="shared" ref="N451:N500" si="62">IF(M451&lt;&gt;"",0.12122458*M451,"")</f>
        <v/>
      </c>
      <c r="O451" t="str">
        <f t="shared" ref="O451:O500" si="63">IF(AND(B451&lt;&gt;"",C451&lt;&gt;""),1.255*B451*(EXP(C451/86.17333262-2)-1.075*EXP(-2)),"")</f>
        <v/>
      </c>
    </row>
    <row r="452" spans="8:15" x14ac:dyDescent="0.3">
      <c r="H452" s="19" t="str">
        <f t="shared" si="56"/>
        <v/>
      </c>
      <c r="I452" s="19" t="str">
        <f t="shared" si="57"/>
        <v/>
      </c>
      <c r="J452" s="19" t="str">
        <f t="shared" si="58"/>
        <v/>
      </c>
      <c r="K452" s="19" t="str">
        <f t="shared" si="59"/>
        <v/>
      </c>
      <c r="L452" s="19" t="str">
        <f t="shared" si="60"/>
        <v/>
      </c>
      <c r="M452" s="19" t="str">
        <f t="shared" si="61"/>
        <v/>
      </c>
      <c r="N452" s="20" t="str">
        <f t="shared" si="62"/>
        <v/>
      </c>
      <c r="O452" t="str">
        <f t="shared" si="63"/>
        <v/>
      </c>
    </row>
    <row r="453" spans="8:15" x14ac:dyDescent="0.3">
      <c r="H453" s="19" t="str">
        <f t="shared" si="56"/>
        <v/>
      </c>
      <c r="I453" s="19" t="str">
        <f t="shared" si="57"/>
        <v/>
      </c>
      <c r="J453" s="19" t="str">
        <f t="shared" si="58"/>
        <v/>
      </c>
      <c r="K453" s="19" t="str">
        <f t="shared" si="59"/>
        <v/>
      </c>
      <c r="L453" s="19" t="str">
        <f t="shared" si="60"/>
        <v/>
      </c>
      <c r="M453" s="19" t="str">
        <f t="shared" si="61"/>
        <v/>
      </c>
      <c r="N453" s="20" t="str">
        <f t="shared" si="62"/>
        <v/>
      </c>
      <c r="O453" t="str">
        <f t="shared" si="63"/>
        <v/>
      </c>
    </row>
    <row r="454" spans="8:15" x14ac:dyDescent="0.3">
      <c r="H454" s="19" t="str">
        <f t="shared" si="56"/>
        <v/>
      </c>
      <c r="I454" s="19" t="str">
        <f t="shared" si="57"/>
        <v/>
      </c>
      <c r="J454" s="19" t="str">
        <f t="shared" si="58"/>
        <v/>
      </c>
      <c r="K454" s="19" t="str">
        <f t="shared" si="59"/>
        <v/>
      </c>
      <c r="L454" s="19" t="str">
        <f t="shared" si="60"/>
        <v/>
      </c>
      <c r="M454" s="19" t="str">
        <f t="shared" si="61"/>
        <v/>
      </c>
      <c r="N454" s="20" t="str">
        <f t="shared" si="62"/>
        <v/>
      </c>
      <c r="O454" t="str">
        <f t="shared" si="63"/>
        <v/>
      </c>
    </row>
    <row r="455" spans="8:15" x14ac:dyDescent="0.3">
      <c r="H455" s="19" t="str">
        <f t="shared" si="56"/>
        <v/>
      </c>
      <c r="I455" s="19" t="str">
        <f t="shared" si="57"/>
        <v/>
      </c>
      <c r="J455" s="19" t="str">
        <f t="shared" si="58"/>
        <v/>
      </c>
      <c r="K455" s="19" t="str">
        <f t="shared" si="59"/>
        <v/>
      </c>
      <c r="L455" s="19" t="str">
        <f t="shared" si="60"/>
        <v/>
      </c>
      <c r="M455" s="19" t="str">
        <f t="shared" si="61"/>
        <v/>
      </c>
      <c r="N455" s="20" t="str">
        <f t="shared" si="62"/>
        <v/>
      </c>
      <c r="O455" t="str">
        <f t="shared" si="63"/>
        <v/>
      </c>
    </row>
    <row r="456" spans="8:15" x14ac:dyDescent="0.3">
      <c r="H456" s="19" t="str">
        <f t="shared" si="56"/>
        <v/>
      </c>
      <c r="I456" s="19" t="str">
        <f t="shared" si="57"/>
        <v/>
      </c>
      <c r="J456" s="19" t="str">
        <f t="shared" si="58"/>
        <v/>
      </c>
      <c r="K456" s="19" t="str">
        <f t="shared" si="59"/>
        <v/>
      </c>
      <c r="L456" s="19" t="str">
        <f t="shared" si="60"/>
        <v/>
      </c>
      <c r="M456" s="19" t="str">
        <f t="shared" si="61"/>
        <v/>
      </c>
      <c r="N456" s="20" t="str">
        <f t="shared" si="62"/>
        <v/>
      </c>
      <c r="O456" t="str">
        <f t="shared" si="63"/>
        <v/>
      </c>
    </row>
    <row r="457" spans="8:15" x14ac:dyDescent="0.3">
      <c r="H457" s="19" t="str">
        <f t="shared" si="56"/>
        <v/>
      </c>
      <c r="I457" s="19" t="str">
        <f t="shared" si="57"/>
        <v/>
      </c>
      <c r="J457" s="19" t="str">
        <f t="shared" si="58"/>
        <v/>
      </c>
      <c r="K457" s="19" t="str">
        <f t="shared" si="59"/>
        <v/>
      </c>
      <c r="L457" s="19" t="str">
        <f t="shared" si="60"/>
        <v/>
      </c>
      <c r="M457" s="19" t="str">
        <f t="shared" si="61"/>
        <v/>
      </c>
      <c r="N457" s="20" t="str">
        <f t="shared" si="62"/>
        <v/>
      </c>
      <c r="O457" t="str">
        <f t="shared" si="63"/>
        <v/>
      </c>
    </row>
    <row r="458" spans="8:15" x14ac:dyDescent="0.3">
      <c r="H458" s="19" t="str">
        <f t="shared" si="56"/>
        <v/>
      </c>
      <c r="I458" s="19" t="str">
        <f t="shared" si="57"/>
        <v/>
      </c>
      <c r="J458" s="19" t="str">
        <f t="shared" si="58"/>
        <v/>
      </c>
      <c r="K458" s="19" t="str">
        <f t="shared" si="59"/>
        <v/>
      </c>
      <c r="L458" s="19" t="str">
        <f t="shared" si="60"/>
        <v/>
      </c>
      <c r="M458" s="19" t="str">
        <f t="shared" si="61"/>
        <v/>
      </c>
      <c r="N458" s="20" t="str">
        <f t="shared" si="62"/>
        <v/>
      </c>
      <c r="O458" t="str">
        <f t="shared" si="63"/>
        <v/>
      </c>
    </row>
    <row r="459" spans="8:15" x14ac:dyDescent="0.3">
      <c r="H459" s="19" t="str">
        <f t="shared" si="56"/>
        <v/>
      </c>
      <c r="I459" s="19" t="str">
        <f t="shared" si="57"/>
        <v/>
      </c>
      <c r="J459" s="19" t="str">
        <f t="shared" si="58"/>
        <v/>
      </c>
      <c r="K459" s="19" t="str">
        <f t="shared" si="59"/>
        <v/>
      </c>
      <c r="L459" s="19" t="str">
        <f t="shared" si="60"/>
        <v/>
      </c>
      <c r="M459" s="19" t="str">
        <f t="shared" si="61"/>
        <v/>
      </c>
      <c r="N459" s="20" t="str">
        <f t="shared" si="62"/>
        <v/>
      </c>
      <c r="O459" t="str">
        <f t="shared" si="63"/>
        <v/>
      </c>
    </row>
    <row r="460" spans="8:15" x14ac:dyDescent="0.3">
      <c r="H460" s="19" t="str">
        <f t="shared" si="56"/>
        <v/>
      </c>
      <c r="I460" s="19" t="str">
        <f t="shared" si="57"/>
        <v/>
      </c>
      <c r="J460" s="19" t="str">
        <f t="shared" si="58"/>
        <v/>
      </c>
      <c r="K460" s="19" t="str">
        <f t="shared" si="59"/>
        <v/>
      </c>
      <c r="L460" s="19" t="str">
        <f t="shared" si="60"/>
        <v/>
      </c>
      <c r="M460" s="19" t="str">
        <f t="shared" si="61"/>
        <v/>
      </c>
      <c r="N460" s="20" t="str">
        <f t="shared" si="62"/>
        <v/>
      </c>
      <c r="O460" t="str">
        <f t="shared" si="63"/>
        <v/>
      </c>
    </row>
    <row r="461" spans="8:15" x14ac:dyDescent="0.3">
      <c r="H461" s="19" t="str">
        <f t="shared" si="56"/>
        <v/>
      </c>
      <c r="I461" s="19" t="str">
        <f t="shared" si="57"/>
        <v/>
      </c>
      <c r="J461" s="19" t="str">
        <f t="shared" si="58"/>
        <v/>
      </c>
      <c r="K461" s="19" t="str">
        <f t="shared" si="59"/>
        <v/>
      </c>
      <c r="L461" s="19" t="str">
        <f t="shared" si="60"/>
        <v/>
      </c>
      <c r="M461" s="19" t="str">
        <f t="shared" si="61"/>
        <v/>
      </c>
      <c r="N461" s="20" t="str">
        <f t="shared" si="62"/>
        <v/>
      </c>
      <c r="O461" t="str">
        <f t="shared" si="63"/>
        <v/>
      </c>
    </row>
    <row r="462" spans="8:15" x14ac:dyDescent="0.3">
      <c r="H462" s="19" t="str">
        <f t="shared" si="56"/>
        <v/>
      </c>
      <c r="I462" s="19" t="str">
        <f t="shared" si="57"/>
        <v/>
      </c>
      <c r="J462" s="19" t="str">
        <f t="shared" si="58"/>
        <v/>
      </c>
      <c r="K462" s="19" t="str">
        <f t="shared" si="59"/>
        <v/>
      </c>
      <c r="L462" s="19" t="str">
        <f t="shared" si="60"/>
        <v/>
      </c>
      <c r="M462" s="19" t="str">
        <f t="shared" si="61"/>
        <v/>
      </c>
      <c r="N462" s="20" t="str">
        <f t="shared" si="62"/>
        <v/>
      </c>
      <c r="O462" t="str">
        <f t="shared" si="63"/>
        <v/>
      </c>
    </row>
    <row r="463" spans="8:15" x14ac:dyDescent="0.3">
      <c r="H463" s="19" t="str">
        <f t="shared" si="56"/>
        <v/>
      </c>
      <c r="I463" s="19" t="str">
        <f t="shared" si="57"/>
        <v/>
      </c>
      <c r="J463" s="19" t="str">
        <f t="shared" si="58"/>
        <v/>
      </c>
      <c r="K463" s="19" t="str">
        <f t="shared" si="59"/>
        <v/>
      </c>
      <c r="L463" s="19" t="str">
        <f t="shared" si="60"/>
        <v/>
      </c>
      <c r="M463" s="19" t="str">
        <f t="shared" si="61"/>
        <v/>
      </c>
      <c r="N463" s="20" t="str">
        <f t="shared" si="62"/>
        <v/>
      </c>
      <c r="O463" t="str">
        <f t="shared" si="63"/>
        <v/>
      </c>
    </row>
    <row r="464" spans="8:15" x14ac:dyDescent="0.3">
      <c r="H464" s="19" t="str">
        <f t="shared" si="56"/>
        <v/>
      </c>
      <c r="I464" s="19" t="str">
        <f t="shared" si="57"/>
        <v/>
      </c>
      <c r="J464" s="19" t="str">
        <f t="shared" si="58"/>
        <v/>
      </c>
      <c r="K464" s="19" t="str">
        <f t="shared" si="59"/>
        <v/>
      </c>
      <c r="L464" s="19" t="str">
        <f t="shared" si="60"/>
        <v/>
      </c>
      <c r="M464" s="19" t="str">
        <f t="shared" si="61"/>
        <v/>
      </c>
      <c r="N464" s="20" t="str">
        <f t="shared" si="62"/>
        <v/>
      </c>
      <c r="O464" t="str">
        <f t="shared" si="63"/>
        <v/>
      </c>
    </row>
    <row r="465" spans="8:15" x14ac:dyDescent="0.3">
      <c r="H465" s="19" t="str">
        <f t="shared" si="56"/>
        <v/>
      </c>
      <c r="I465" s="19" t="str">
        <f t="shared" si="57"/>
        <v/>
      </c>
      <c r="J465" s="19" t="str">
        <f t="shared" si="58"/>
        <v/>
      </c>
      <c r="K465" s="19" t="str">
        <f t="shared" si="59"/>
        <v/>
      </c>
      <c r="L465" s="19" t="str">
        <f t="shared" si="60"/>
        <v/>
      </c>
      <c r="M465" s="19" t="str">
        <f t="shared" si="61"/>
        <v/>
      </c>
      <c r="N465" s="20" t="str">
        <f t="shared" si="62"/>
        <v/>
      </c>
      <c r="O465" t="str">
        <f t="shared" si="63"/>
        <v/>
      </c>
    </row>
    <row r="466" spans="8:15" x14ac:dyDescent="0.3">
      <c r="H466" s="19" t="str">
        <f t="shared" si="56"/>
        <v/>
      </c>
      <c r="I466" s="19" t="str">
        <f t="shared" si="57"/>
        <v/>
      </c>
      <c r="J466" s="19" t="str">
        <f t="shared" si="58"/>
        <v/>
      </c>
      <c r="K466" s="19" t="str">
        <f t="shared" si="59"/>
        <v/>
      </c>
      <c r="L466" s="19" t="str">
        <f t="shared" si="60"/>
        <v/>
      </c>
      <c r="M466" s="19" t="str">
        <f t="shared" si="61"/>
        <v/>
      </c>
      <c r="N466" s="20" t="str">
        <f t="shared" si="62"/>
        <v/>
      </c>
      <c r="O466" t="str">
        <f t="shared" si="63"/>
        <v/>
      </c>
    </row>
    <row r="467" spans="8:15" x14ac:dyDescent="0.3">
      <c r="H467" s="19" t="str">
        <f t="shared" si="56"/>
        <v/>
      </c>
      <c r="I467" s="19" t="str">
        <f t="shared" si="57"/>
        <v/>
      </c>
      <c r="J467" s="19" t="str">
        <f t="shared" si="58"/>
        <v/>
      </c>
      <c r="K467" s="19" t="str">
        <f t="shared" si="59"/>
        <v/>
      </c>
      <c r="L467" s="19" t="str">
        <f t="shared" si="60"/>
        <v/>
      </c>
      <c r="M467" s="19" t="str">
        <f t="shared" si="61"/>
        <v/>
      </c>
      <c r="N467" s="20" t="str">
        <f t="shared" si="62"/>
        <v/>
      </c>
      <c r="O467" t="str">
        <f t="shared" si="63"/>
        <v/>
      </c>
    </row>
    <row r="468" spans="8:15" x14ac:dyDescent="0.3">
      <c r="H468" s="19" t="str">
        <f t="shared" si="56"/>
        <v/>
      </c>
      <c r="I468" s="19" t="str">
        <f t="shared" si="57"/>
        <v/>
      </c>
      <c r="J468" s="19" t="str">
        <f t="shared" si="58"/>
        <v/>
      </c>
      <c r="K468" s="19" t="str">
        <f t="shared" si="59"/>
        <v/>
      </c>
      <c r="L468" s="19" t="str">
        <f t="shared" si="60"/>
        <v/>
      </c>
      <c r="M468" s="19" t="str">
        <f t="shared" si="61"/>
        <v/>
      </c>
      <c r="N468" s="20" t="str">
        <f t="shared" si="62"/>
        <v/>
      </c>
      <c r="O468" t="str">
        <f t="shared" si="63"/>
        <v/>
      </c>
    </row>
    <row r="469" spans="8:15" x14ac:dyDescent="0.3">
      <c r="H469" s="19" t="str">
        <f t="shared" si="56"/>
        <v/>
      </c>
      <c r="I469" s="19" t="str">
        <f t="shared" si="57"/>
        <v/>
      </c>
      <c r="J469" s="19" t="str">
        <f t="shared" si="58"/>
        <v/>
      </c>
      <c r="K469" s="19" t="str">
        <f t="shared" si="59"/>
        <v/>
      </c>
      <c r="L469" s="19" t="str">
        <f t="shared" si="60"/>
        <v/>
      </c>
      <c r="M469" s="19" t="str">
        <f t="shared" si="61"/>
        <v/>
      </c>
      <c r="N469" s="20" t="str">
        <f t="shared" si="62"/>
        <v/>
      </c>
      <c r="O469" t="str">
        <f t="shared" si="63"/>
        <v/>
      </c>
    </row>
    <row r="470" spans="8:15" x14ac:dyDescent="0.3">
      <c r="H470" s="19" t="str">
        <f t="shared" si="56"/>
        <v/>
      </c>
      <c r="I470" s="19" t="str">
        <f t="shared" si="57"/>
        <v/>
      </c>
      <c r="J470" s="19" t="str">
        <f t="shared" si="58"/>
        <v/>
      </c>
      <c r="K470" s="19" t="str">
        <f t="shared" si="59"/>
        <v/>
      </c>
      <c r="L470" s="19" t="str">
        <f t="shared" si="60"/>
        <v/>
      </c>
      <c r="M470" s="19" t="str">
        <f t="shared" si="61"/>
        <v/>
      </c>
      <c r="N470" s="20" t="str">
        <f t="shared" si="62"/>
        <v/>
      </c>
      <c r="O470" t="str">
        <f t="shared" si="63"/>
        <v/>
      </c>
    </row>
    <row r="471" spans="8:15" x14ac:dyDescent="0.3">
      <c r="H471" s="19" t="str">
        <f t="shared" si="56"/>
        <v/>
      </c>
      <c r="I471" s="19" t="str">
        <f t="shared" si="57"/>
        <v/>
      </c>
      <c r="J471" s="19" t="str">
        <f t="shared" si="58"/>
        <v/>
      </c>
      <c r="K471" s="19" t="str">
        <f t="shared" si="59"/>
        <v/>
      </c>
      <c r="L471" s="19" t="str">
        <f t="shared" si="60"/>
        <v/>
      </c>
      <c r="M471" s="19" t="str">
        <f t="shared" si="61"/>
        <v/>
      </c>
      <c r="N471" s="20" t="str">
        <f t="shared" si="62"/>
        <v/>
      </c>
      <c r="O471" t="str">
        <f t="shared" si="63"/>
        <v/>
      </c>
    </row>
    <row r="472" spans="8:15" x14ac:dyDescent="0.3">
      <c r="H472" s="19" t="str">
        <f t="shared" si="56"/>
        <v/>
      </c>
      <c r="I472" s="19" t="str">
        <f t="shared" si="57"/>
        <v/>
      </c>
      <c r="J472" s="19" t="str">
        <f t="shared" si="58"/>
        <v/>
      </c>
      <c r="K472" s="19" t="str">
        <f t="shared" si="59"/>
        <v/>
      </c>
      <c r="L472" s="19" t="str">
        <f t="shared" si="60"/>
        <v/>
      </c>
      <c r="M472" s="19" t="str">
        <f t="shared" si="61"/>
        <v/>
      </c>
      <c r="N472" s="20" t="str">
        <f t="shared" si="62"/>
        <v/>
      </c>
      <c r="O472" t="str">
        <f t="shared" si="63"/>
        <v/>
      </c>
    </row>
    <row r="473" spans="8:15" x14ac:dyDescent="0.3">
      <c r="H473" s="19" t="str">
        <f t="shared" si="56"/>
        <v/>
      </c>
      <c r="I473" s="19" t="str">
        <f t="shared" si="57"/>
        <v/>
      </c>
      <c r="J473" s="19" t="str">
        <f t="shared" si="58"/>
        <v/>
      </c>
      <c r="K473" s="19" t="str">
        <f t="shared" si="59"/>
        <v/>
      </c>
      <c r="L473" s="19" t="str">
        <f t="shared" si="60"/>
        <v/>
      </c>
      <c r="M473" s="19" t="str">
        <f t="shared" si="61"/>
        <v/>
      </c>
      <c r="N473" s="20" t="str">
        <f t="shared" si="62"/>
        <v/>
      </c>
      <c r="O473" t="str">
        <f t="shared" si="63"/>
        <v/>
      </c>
    </row>
    <row r="474" spans="8:15" x14ac:dyDescent="0.3">
      <c r="H474" s="19" t="str">
        <f t="shared" si="56"/>
        <v/>
      </c>
      <c r="I474" s="19" t="str">
        <f t="shared" si="57"/>
        <v/>
      </c>
      <c r="J474" s="19" t="str">
        <f t="shared" si="58"/>
        <v/>
      </c>
      <c r="K474" s="19" t="str">
        <f t="shared" si="59"/>
        <v/>
      </c>
      <c r="L474" s="19" t="str">
        <f t="shared" si="60"/>
        <v/>
      </c>
      <c r="M474" s="19" t="str">
        <f t="shared" si="61"/>
        <v/>
      </c>
      <c r="N474" s="20" t="str">
        <f t="shared" si="62"/>
        <v/>
      </c>
      <c r="O474" t="str">
        <f t="shared" si="63"/>
        <v/>
      </c>
    </row>
    <row r="475" spans="8:15" x14ac:dyDescent="0.3">
      <c r="H475" s="19" t="str">
        <f t="shared" si="56"/>
        <v/>
      </c>
      <c r="I475" s="19" t="str">
        <f t="shared" si="57"/>
        <v/>
      </c>
      <c r="J475" s="19" t="str">
        <f t="shared" si="58"/>
        <v/>
      </c>
      <c r="K475" s="19" t="str">
        <f t="shared" si="59"/>
        <v/>
      </c>
      <c r="L475" s="19" t="str">
        <f t="shared" si="60"/>
        <v/>
      </c>
      <c r="M475" s="19" t="str">
        <f t="shared" si="61"/>
        <v/>
      </c>
      <c r="N475" s="20" t="str">
        <f t="shared" si="62"/>
        <v/>
      </c>
      <c r="O475" t="str">
        <f t="shared" si="63"/>
        <v/>
      </c>
    </row>
    <row r="476" spans="8:15" x14ac:dyDescent="0.3">
      <c r="H476" s="19" t="str">
        <f t="shared" si="56"/>
        <v/>
      </c>
      <c r="I476" s="19" t="str">
        <f t="shared" si="57"/>
        <v/>
      </c>
      <c r="J476" s="19" t="str">
        <f t="shared" si="58"/>
        <v/>
      </c>
      <c r="K476" s="19" t="str">
        <f t="shared" si="59"/>
        <v/>
      </c>
      <c r="L476" s="19" t="str">
        <f t="shared" si="60"/>
        <v/>
      </c>
      <c r="M476" s="19" t="str">
        <f t="shared" si="61"/>
        <v/>
      </c>
      <c r="N476" s="20" t="str">
        <f t="shared" si="62"/>
        <v/>
      </c>
      <c r="O476" t="str">
        <f t="shared" si="63"/>
        <v/>
      </c>
    </row>
    <row r="477" spans="8:15" x14ac:dyDescent="0.3">
      <c r="H477" s="19" t="str">
        <f t="shared" si="56"/>
        <v/>
      </c>
      <c r="I477" s="19" t="str">
        <f t="shared" si="57"/>
        <v/>
      </c>
      <c r="J477" s="19" t="str">
        <f t="shared" si="58"/>
        <v/>
      </c>
      <c r="K477" s="19" t="str">
        <f t="shared" si="59"/>
        <v/>
      </c>
      <c r="L477" s="19" t="str">
        <f t="shared" si="60"/>
        <v/>
      </c>
      <c r="M477" s="19" t="str">
        <f t="shared" si="61"/>
        <v/>
      </c>
      <c r="N477" s="20" t="str">
        <f t="shared" si="62"/>
        <v/>
      </c>
      <c r="O477" t="str">
        <f t="shared" si="63"/>
        <v/>
      </c>
    </row>
    <row r="478" spans="8:15" x14ac:dyDescent="0.3">
      <c r="H478" s="19" t="str">
        <f t="shared" si="56"/>
        <v/>
      </c>
      <c r="I478" s="19" t="str">
        <f t="shared" si="57"/>
        <v/>
      </c>
      <c r="J478" s="19" t="str">
        <f t="shared" si="58"/>
        <v/>
      </c>
      <c r="K478" s="19" t="str">
        <f t="shared" si="59"/>
        <v/>
      </c>
      <c r="L478" s="19" t="str">
        <f t="shared" si="60"/>
        <v/>
      </c>
      <c r="M478" s="19" t="str">
        <f t="shared" si="61"/>
        <v/>
      </c>
      <c r="N478" s="20" t="str">
        <f t="shared" si="62"/>
        <v/>
      </c>
      <c r="O478" t="str">
        <f t="shared" si="63"/>
        <v/>
      </c>
    </row>
    <row r="479" spans="8:15" x14ac:dyDescent="0.3">
      <c r="H479" s="19" t="str">
        <f t="shared" si="56"/>
        <v/>
      </c>
      <c r="I479" s="19" t="str">
        <f t="shared" si="57"/>
        <v/>
      </c>
      <c r="J479" s="19" t="str">
        <f t="shared" si="58"/>
        <v/>
      </c>
      <c r="K479" s="19" t="str">
        <f t="shared" si="59"/>
        <v/>
      </c>
      <c r="L479" s="19" t="str">
        <f t="shared" si="60"/>
        <v/>
      </c>
      <c r="M479" s="19" t="str">
        <f t="shared" si="61"/>
        <v/>
      </c>
      <c r="N479" s="20" t="str">
        <f t="shared" si="62"/>
        <v/>
      </c>
      <c r="O479" t="str">
        <f t="shared" si="63"/>
        <v/>
      </c>
    </row>
    <row r="480" spans="8:15" x14ac:dyDescent="0.3">
      <c r="H480" s="19" t="str">
        <f t="shared" si="56"/>
        <v/>
      </c>
      <c r="I480" s="19" t="str">
        <f t="shared" si="57"/>
        <v/>
      </c>
      <c r="J480" s="19" t="str">
        <f t="shared" si="58"/>
        <v/>
      </c>
      <c r="K480" s="19" t="str">
        <f t="shared" si="59"/>
        <v/>
      </c>
      <c r="L480" s="19" t="str">
        <f t="shared" si="60"/>
        <v/>
      </c>
      <c r="M480" s="19" t="str">
        <f t="shared" si="61"/>
        <v/>
      </c>
      <c r="N480" s="20" t="str">
        <f t="shared" si="62"/>
        <v/>
      </c>
      <c r="O480" t="str">
        <f t="shared" si="63"/>
        <v/>
      </c>
    </row>
    <row r="481" spans="8:15" x14ac:dyDescent="0.3">
      <c r="H481" s="19" t="str">
        <f t="shared" si="56"/>
        <v/>
      </c>
      <c r="I481" s="19" t="str">
        <f t="shared" si="57"/>
        <v/>
      </c>
      <c r="J481" s="19" t="str">
        <f t="shared" si="58"/>
        <v/>
      </c>
      <c r="K481" s="19" t="str">
        <f t="shared" si="59"/>
        <v/>
      </c>
      <c r="L481" s="19" t="str">
        <f t="shared" si="60"/>
        <v/>
      </c>
      <c r="M481" s="19" t="str">
        <f t="shared" si="61"/>
        <v/>
      </c>
      <c r="N481" s="20" t="str">
        <f t="shared" si="62"/>
        <v/>
      </c>
      <c r="O481" t="str">
        <f t="shared" si="63"/>
        <v/>
      </c>
    </row>
    <row r="482" spans="8:15" x14ac:dyDescent="0.3">
      <c r="H482" s="19" t="str">
        <f t="shared" si="56"/>
        <v/>
      </c>
      <c r="I482" s="19" t="str">
        <f t="shared" si="57"/>
        <v/>
      </c>
      <c r="J482" s="19" t="str">
        <f t="shared" si="58"/>
        <v/>
      </c>
      <c r="K482" s="19" t="str">
        <f t="shared" si="59"/>
        <v/>
      </c>
      <c r="L482" s="19" t="str">
        <f t="shared" si="60"/>
        <v/>
      </c>
      <c r="M482" s="19" t="str">
        <f t="shared" si="61"/>
        <v/>
      </c>
      <c r="N482" s="20" t="str">
        <f t="shared" si="62"/>
        <v/>
      </c>
      <c r="O482" t="str">
        <f t="shared" si="63"/>
        <v/>
      </c>
    </row>
    <row r="483" spans="8:15" x14ac:dyDescent="0.3">
      <c r="H483" s="19" t="str">
        <f t="shared" si="56"/>
        <v/>
      </c>
      <c r="I483" s="19" t="str">
        <f t="shared" si="57"/>
        <v/>
      </c>
      <c r="J483" s="19" t="str">
        <f t="shared" si="58"/>
        <v/>
      </c>
      <c r="K483" s="19" t="str">
        <f t="shared" si="59"/>
        <v/>
      </c>
      <c r="L483" s="19" t="str">
        <f t="shared" si="60"/>
        <v/>
      </c>
      <c r="M483" s="19" t="str">
        <f t="shared" si="61"/>
        <v/>
      </c>
      <c r="N483" s="20" t="str">
        <f t="shared" si="62"/>
        <v/>
      </c>
      <c r="O483" t="str">
        <f t="shared" si="63"/>
        <v/>
      </c>
    </row>
    <row r="484" spans="8:15" x14ac:dyDescent="0.3">
      <c r="H484" s="19" t="str">
        <f t="shared" si="56"/>
        <v/>
      </c>
      <c r="I484" s="19" t="str">
        <f t="shared" si="57"/>
        <v/>
      </c>
      <c r="J484" s="19" t="str">
        <f t="shared" si="58"/>
        <v/>
      </c>
      <c r="K484" s="19" t="str">
        <f t="shared" si="59"/>
        <v/>
      </c>
      <c r="L484" s="19" t="str">
        <f t="shared" si="60"/>
        <v/>
      </c>
      <c r="M484" s="19" t="str">
        <f t="shared" si="61"/>
        <v/>
      </c>
      <c r="N484" s="20" t="str">
        <f t="shared" si="62"/>
        <v/>
      </c>
      <c r="O484" t="str">
        <f t="shared" si="63"/>
        <v/>
      </c>
    </row>
    <row r="485" spans="8:15" x14ac:dyDescent="0.3">
      <c r="H485" s="19" t="str">
        <f t="shared" si="56"/>
        <v/>
      </c>
      <c r="I485" s="19" t="str">
        <f t="shared" si="57"/>
        <v/>
      </c>
      <c r="J485" s="19" t="str">
        <f t="shared" si="58"/>
        <v/>
      </c>
      <c r="K485" s="19" t="str">
        <f t="shared" si="59"/>
        <v/>
      </c>
      <c r="L485" s="19" t="str">
        <f t="shared" si="60"/>
        <v/>
      </c>
      <c r="M485" s="19" t="str">
        <f t="shared" si="61"/>
        <v/>
      </c>
      <c r="N485" s="20" t="str">
        <f t="shared" si="62"/>
        <v/>
      </c>
      <c r="O485" t="str">
        <f t="shared" si="63"/>
        <v/>
      </c>
    </row>
    <row r="486" spans="8:15" x14ac:dyDescent="0.3">
      <c r="H486" s="19" t="str">
        <f t="shared" si="56"/>
        <v/>
      </c>
      <c r="I486" s="19" t="str">
        <f t="shared" si="57"/>
        <v/>
      </c>
      <c r="J486" s="19" t="str">
        <f t="shared" si="58"/>
        <v/>
      </c>
      <c r="K486" s="19" t="str">
        <f t="shared" si="59"/>
        <v/>
      </c>
      <c r="L486" s="19" t="str">
        <f t="shared" si="60"/>
        <v/>
      </c>
      <c r="M486" s="19" t="str">
        <f t="shared" si="61"/>
        <v/>
      </c>
      <c r="N486" s="20" t="str">
        <f t="shared" si="62"/>
        <v/>
      </c>
      <c r="O486" t="str">
        <f t="shared" si="63"/>
        <v/>
      </c>
    </row>
    <row r="487" spans="8:15" x14ac:dyDescent="0.3">
      <c r="H487" s="19" t="str">
        <f t="shared" si="56"/>
        <v/>
      </c>
      <c r="I487" s="19" t="str">
        <f t="shared" si="57"/>
        <v/>
      </c>
      <c r="J487" s="19" t="str">
        <f t="shared" si="58"/>
        <v/>
      </c>
      <c r="K487" s="19" t="str">
        <f t="shared" si="59"/>
        <v/>
      </c>
      <c r="L487" s="19" t="str">
        <f t="shared" si="60"/>
        <v/>
      </c>
      <c r="M487" s="19" t="str">
        <f t="shared" si="61"/>
        <v/>
      </c>
      <c r="N487" s="20" t="str">
        <f t="shared" si="62"/>
        <v/>
      </c>
      <c r="O487" t="str">
        <f t="shared" si="63"/>
        <v/>
      </c>
    </row>
    <row r="488" spans="8:15" x14ac:dyDescent="0.3">
      <c r="H488" s="19" t="str">
        <f t="shared" si="56"/>
        <v/>
      </c>
      <c r="I488" s="19" t="str">
        <f t="shared" si="57"/>
        <v/>
      </c>
      <c r="J488" s="19" t="str">
        <f t="shared" si="58"/>
        <v/>
      </c>
      <c r="K488" s="19" t="str">
        <f t="shared" si="59"/>
        <v/>
      </c>
      <c r="L488" s="19" t="str">
        <f t="shared" si="60"/>
        <v/>
      </c>
      <c r="M488" s="19" t="str">
        <f t="shared" si="61"/>
        <v/>
      </c>
      <c r="N488" s="20" t="str">
        <f t="shared" si="62"/>
        <v/>
      </c>
      <c r="O488" t="str">
        <f t="shared" si="63"/>
        <v/>
      </c>
    </row>
    <row r="489" spans="8:15" x14ac:dyDescent="0.3">
      <c r="H489" s="19" t="str">
        <f t="shared" si="56"/>
        <v/>
      </c>
      <c r="I489" s="19" t="str">
        <f t="shared" si="57"/>
        <v/>
      </c>
      <c r="J489" s="19" t="str">
        <f t="shared" si="58"/>
        <v/>
      </c>
      <c r="K489" s="19" t="str">
        <f t="shared" si="59"/>
        <v/>
      </c>
      <c r="L489" s="19" t="str">
        <f t="shared" si="60"/>
        <v/>
      </c>
      <c r="M489" s="19" t="str">
        <f t="shared" si="61"/>
        <v/>
      </c>
      <c r="N489" s="20" t="str">
        <f t="shared" si="62"/>
        <v/>
      </c>
      <c r="O489" t="str">
        <f t="shared" si="63"/>
        <v/>
      </c>
    </row>
    <row r="490" spans="8:15" x14ac:dyDescent="0.3">
      <c r="H490" s="19" t="str">
        <f t="shared" si="56"/>
        <v/>
      </c>
      <c r="I490" s="19" t="str">
        <f t="shared" si="57"/>
        <v/>
      </c>
      <c r="J490" s="19" t="str">
        <f t="shared" si="58"/>
        <v/>
      </c>
      <c r="K490" s="19" t="str">
        <f t="shared" si="59"/>
        <v/>
      </c>
      <c r="L490" s="19" t="str">
        <f t="shared" si="60"/>
        <v/>
      </c>
      <c r="M490" s="19" t="str">
        <f t="shared" si="61"/>
        <v/>
      </c>
      <c r="N490" s="20" t="str">
        <f t="shared" si="62"/>
        <v/>
      </c>
      <c r="O490" t="str">
        <f t="shared" si="63"/>
        <v/>
      </c>
    </row>
    <row r="491" spans="8:15" x14ac:dyDescent="0.3">
      <c r="H491" s="19" t="str">
        <f t="shared" si="56"/>
        <v/>
      </c>
      <c r="I491" s="19" t="str">
        <f t="shared" si="57"/>
        <v/>
      </c>
      <c r="J491" s="19" t="str">
        <f t="shared" si="58"/>
        <v/>
      </c>
      <c r="K491" s="19" t="str">
        <f t="shared" si="59"/>
        <v/>
      </c>
      <c r="L491" s="19" t="str">
        <f t="shared" si="60"/>
        <v/>
      </c>
      <c r="M491" s="19" t="str">
        <f t="shared" si="61"/>
        <v/>
      </c>
      <c r="N491" s="20" t="str">
        <f t="shared" si="62"/>
        <v/>
      </c>
      <c r="O491" t="str">
        <f t="shared" si="63"/>
        <v/>
      </c>
    </row>
    <row r="492" spans="8:15" x14ac:dyDescent="0.3">
      <c r="H492" s="19" t="str">
        <f t="shared" si="56"/>
        <v/>
      </c>
      <c r="I492" s="19" t="str">
        <f t="shared" si="57"/>
        <v/>
      </c>
      <c r="J492" s="19" t="str">
        <f t="shared" si="58"/>
        <v/>
      </c>
      <c r="K492" s="19" t="str">
        <f t="shared" si="59"/>
        <v/>
      </c>
      <c r="L492" s="19" t="str">
        <f t="shared" si="60"/>
        <v/>
      </c>
      <c r="M492" s="19" t="str">
        <f t="shared" si="61"/>
        <v/>
      </c>
      <c r="N492" s="20" t="str">
        <f t="shared" si="62"/>
        <v/>
      </c>
      <c r="O492" t="str">
        <f t="shared" si="63"/>
        <v/>
      </c>
    </row>
    <row r="493" spans="8:15" x14ac:dyDescent="0.3">
      <c r="H493" s="19" t="str">
        <f t="shared" si="56"/>
        <v/>
      </c>
      <c r="I493" s="19" t="str">
        <f t="shared" si="57"/>
        <v/>
      </c>
      <c r="J493" s="19" t="str">
        <f t="shared" si="58"/>
        <v/>
      </c>
      <c r="K493" s="19" t="str">
        <f t="shared" si="59"/>
        <v/>
      </c>
      <c r="L493" s="19" t="str">
        <f t="shared" si="60"/>
        <v/>
      </c>
      <c r="M493" s="19" t="str">
        <f t="shared" si="61"/>
        <v/>
      </c>
      <c r="N493" s="20" t="str">
        <f t="shared" si="62"/>
        <v/>
      </c>
      <c r="O493" t="str">
        <f t="shared" si="63"/>
        <v/>
      </c>
    </row>
    <row r="494" spans="8:15" x14ac:dyDescent="0.3">
      <c r="H494" s="19" t="str">
        <f t="shared" si="56"/>
        <v/>
      </c>
      <c r="I494" s="19" t="str">
        <f t="shared" si="57"/>
        <v/>
      </c>
      <c r="J494" s="19" t="str">
        <f t="shared" si="58"/>
        <v/>
      </c>
      <c r="K494" s="19" t="str">
        <f t="shared" si="59"/>
        <v/>
      </c>
      <c r="L494" s="19" t="str">
        <f t="shared" si="60"/>
        <v/>
      </c>
      <c r="M494" s="19" t="str">
        <f t="shared" si="61"/>
        <v/>
      </c>
      <c r="N494" s="20" t="str">
        <f t="shared" si="62"/>
        <v/>
      </c>
      <c r="O494" t="str">
        <f t="shared" si="63"/>
        <v/>
      </c>
    </row>
    <row r="495" spans="8:15" x14ac:dyDescent="0.3">
      <c r="H495" s="19" t="str">
        <f t="shared" si="56"/>
        <v/>
      </c>
      <c r="I495" s="19" t="str">
        <f t="shared" si="57"/>
        <v/>
      </c>
      <c r="J495" s="19" t="str">
        <f t="shared" si="58"/>
        <v/>
      </c>
      <c r="K495" s="19" t="str">
        <f t="shared" si="59"/>
        <v/>
      </c>
      <c r="L495" s="19" t="str">
        <f t="shared" si="60"/>
        <v/>
      </c>
      <c r="M495" s="19" t="str">
        <f t="shared" si="61"/>
        <v/>
      </c>
      <c r="N495" s="20" t="str">
        <f t="shared" si="62"/>
        <v/>
      </c>
      <c r="O495" t="str">
        <f t="shared" si="63"/>
        <v/>
      </c>
    </row>
    <row r="496" spans="8:15" x14ac:dyDescent="0.3">
      <c r="H496" s="19" t="str">
        <f t="shared" si="56"/>
        <v/>
      </c>
      <c r="I496" s="19" t="str">
        <f t="shared" si="57"/>
        <v/>
      </c>
      <c r="J496" s="19" t="str">
        <f t="shared" si="58"/>
        <v/>
      </c>
      <c r="K496" s="19" t="str">
        <f t="shared" si="59"/>
        <v/>
      </c>
      <c r="L496" s="19" t="str">
        <f t="shared" si="60"/>
        <v/>
      </c>
      <c r="M496" s="19" t="str">
        <f t="shared" si="61"/>
        <v/>
      </c>
      <c r="N496" s="20" t="str">
        <f t="shared" si="62"/>
        <v/>
      </c>
      <c r="O496" t="str">
        <f t="shared" si="63"/>
        <v/>
      </c>
    </row>
    <row r="497" spans="8:15" x14ac:dyDescent="0.3">
      <c r="H497" s="19" t="str">
        <f t="shared" si="56"/>
        <v/>
      </c>
      <c r="I497" s="19" t="str">
        <f t="shared" si="57"/>
        <v/>
      </c>
      <c r="J497" s="19" t="str">
        <f t="shared" si="58"/>
        <v/>
      </c>
      <c r="K497" s="19" t="str">
        <f t="shared" si="59"/>
        <v/>
      </c>
      <c r="L497" s="19" t="str">
        <f t="shared" si="60"/>
        <v/>
      </c>
      <c r="M497" s="19" t="str">
        <f t="shared" si="61"/>
        <v/>
      </c>
      <c r="N497" s="20" t="str">
        <f t="shared" si="62"/>
        <v/>
      </c>
      <c r="O497" t="str">
        <f t="shared" si="63"/>
        <v/>
      </c>
    </row>
    <row r="498" spans="8:15" x14ac:dyDescent="0.3">
      <c r="H498" s="19" t="str">
        <f t="shared" si="56"/>
        <v/>
      </c>
      <c r="I498" s="19" t="str">
        <f t="shared" si="57"/>
        <v/>
      </c>
      <c r="J498" s="19" t="str">
        <f t="shared" si="58"/>
        <v/>
      </c>
      <c r="K498" s="19" t="str">
        <f t="shared" si="59"/>
        <v/>
      </c>
      <c r="L498" s="19" t="str">
        <f t="shared" si="60"/>
        <v/>
      </c>
      <c r="M498" s="19" t="str">
        <f t="shared" si="61"/>
        <v/>
      </c>
      <c r="N498" s="20" t="str">
        <f t="shared" si="62"/>
        <v/>
      </c>
      <c r="O498" t="str">
        <f t="shared" si="63"/>
        <v/>
      </c>
    </row>
    <row r="499" spans="8:15" x14ac:dyDescent="0.3">
      <c r="H499" s="19" t="str">
        <f t="shared" si="56"/>
        <v/>
      </c>
      <c r="I499" s="19" t="str">
        <f t="shared" si="57"/>
        <v/>
      </c>
      <c r="J499" s="19" t="str">
        <f t="shared" si="58"/>
        <v/>
      </c>
      <c r="K499" s="19" t="str">
        <f t="shared" si="59"/>
        <v/>
      </c>
      <c r="L499" s="19" t="str">
        <f t="shared" si="60"/>
        <v/>
      </c>
      <c r="M499" s="19" t="str">
        <f t="shared" si="61"/>
        <v/>
      </c>
      <c r="N499" s="20" t="str">
        <f t="shared" si="62"/>
        <v/>
      </c>
      <c r="O499" t="str">
        <f t="shared" si="63"/>
        <v/>
      </c>
    </row>
    <row r="500" spans="8:15" x14ac:dyDescent="0.3">
      <c r="H500" s="19" t="str">
        <f t="shared" si="56"/>
        <v/>
      </c>
      <c r="I500" s="19" t="str">
        <f t="shared" si="57"/>
        <v/>
      </c>
      <c r="J500" s="19" t="str">
        <f t="shared" si="58"/>
        <v/>
      </c>
      <c r="K500" s="19" t="str">
        <f t="shared" si="59"/>
        <v/>
      </c>
      <c r="L500" s="19" t="str">
        <f t="shared" si="60"/>
        <v/>
      </c>
      <c r="M500" s="19" t="str">
        <f t="shared" si="61"/>
        <v/>
      </c>
      <c r="N500" s="20" t="str">
        <f t="shared" si="62"/>
        <v/>
      </c>
      <c r="O500" t="str">
        <f t="shared" si="63"/>
        <v/>
      </c>
    </row>
    <row r="501" spans="8:15" x14ac:dyDescent="0.3">
      <c r="H501" s="19" t="str">
        <f t="shared" ref="H450:H501" si="64">IF(AND(B501&lt;&gt;"",D501&lt;&gt;""),1.6021766341*B501*D501,"")</f>
        <v/>
      </c>
      <c r="I501" s="19" t="str">
        <f t="shared" ref="I450:I501" si="65">IF(AND(B501&lt;&gt;"",D501&lt;&gt;"",C501&lt;&gt;""),1.6021766341*B501*D501*C501^2*0.000001,"")</f>
        <v/>
      </c>
      <c r="J501" s="19" t="str">
        <f t="shared" ref="J450:J501" si="66">IF(AND(A501&lt;&gt;"",B501&lt;&gt;"",C501&lt;&gt;""),(B501/2.509412225*(EXP(C501/86.17333262-2)-1.075*EXP(-2)))^(2/3)*300/A501,"")</f>
        <v/>
      </c>
      <c r="K501" s="19" t="str">
        <f t="shared" ref="K450:K501" si="67">IF(J501&lt;&gt;"",D501*(1+(J501*A501/300)^(-3/2)*B501/(2*2.509412225))^(1/3),"")</f>
        <v/>
      </c>
      <c r="L501" s="19" t="str">
        <f t="shared" ref="L451:L501" si="68">IF(K501&lt;&gt;"",K501*(J501)^(3/2),"")</f>
        <v/>
      </c>
      <c r="M501" s="19" t="str">
        <f t="shared" ref="M450:M501" si="69">IF(K501&lt;&gt;"",K501*(J501*A501/300)^(3/2),"")</f>
        <v/>
      </c>
      <c r="N501" s="20" t="str">
        <f t="shared" ref="N451:N501" si="70">IF(M501&lt;&gt;"",0.12122458*M501,"")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C24B-7194-4C64-B204-B77D3ED4A6B1}">
  <dimension ref="A1:H500"/>
  <sheetViews>
    <sheetView workbookViewId="0">
      <selection activeCell="I7" sqref="I7"/>
    </sheetView>
  </sheetViews>
  <sheetFormatPr defaultRowHeight="14" x14ac:dyDescent="0.3"/>
  <cols>
    <col min="1" max="3" width="12.58203125" style="29" customWidth="1"/>
    <col min="4" max="4" width="1.33203125" style="25" customWidth="1"/>
    <col min="5" max="5" width="1.33203125" style="26" customWidth="1"/>
    <col min="6" max="6" width="1.33203125" style="27" customWidth="1"/>
    <col min="7" max="8" width="15.58203125" style="29" customWidth="1"/>
  </cols>
  <sheetData>
    <row r="1" spans="1:8" ht="16.5" x14ac:dyDescent="0.3">
      <c r="A1" s="24" t="s">
        <v>25</v>
      </c>
      <c r="B1" s="24" t="s">
        <v>16</v>
      </c>
      <c r="C1" s="24" t="s">
        <v>3</v>
      </c>
      <c r="G1" s="28" t="s">
        <v>26</v>
      </c>
      <c r="H1" s="28" t="s">
        <v>27</v>
      </c>
    </row>
    <row r="2" spans="1:8" x14ac:dyDescent="0.3">
      <c r="A2" s="30"/>
      <c r="B2" s="30"/>
      <c r="C2" s="30">
        <v>100</v>
      </c>
      <c r="G2" s="30">
        <f>IF(C2&lt;&gt;"", 0.7426*(2+(PI()^2/3-2)/(1+(2*PI()*(EXP(ABS(C2)/86.17333262-2)-1.075*EXP(-2)))^(3/2))^(2/3)),"")</f>
        <v>1.9076480830327276</v>
      </c>
      <c r="H2" s="30" t="str">
        <f>IF(AND(A2&lt;&gt;"",B2&lt;&gt;"",G2&lt;&gt;""),A2*B2*G2*0.000001,"")</f>
        <v/>
      </c>
    </row>
    <row r="3" spans="1:8" x14ac:dyDescent="0.3">
      <c r="A3" s="30">
        <v>300</v>
      </c>
      <c r="B3" s="30">
        <v>400</v>
      </c>
      <c r="C3" s="30">
        <v>120</v>
      </c>
      <c r="G3" s="30">
        <f t="shared" ref="G3:G66" si="0">IF(C3&lt;&gt;"", 0.7426*(2+(PI()^2/3-2)/(1+(2*PI()*(EXP(ABS(C3)/86.17333262-2)-1.075*EXP(-2)))^(3/2))^(2/3)),"")</f>
        <v>1.8139602826885595</v>
      </c>
      <c r="H3" s="30">
        <f t="shared" ref="H3:H66" si="1">IF(AND(A3&lt;&gt;"",B3&lt;&gt;"",G3&lt;&gt;""),A3*B3*G3*0.000001,"")</f>
        <v>0.21767523392262714</v>
      </c>
    </row>
    <row r="4" spans="1:8" x14ac:dyDescent="0.3">
      <c r="G4" s="29" t="str">
        <f t="shared" si="0"/>
        <v/>
      </c>
      <c r="H4" s="29" t="str">
        <f t="shared" si="1"/>
        <v/>
      </c>
    </row>
    <row r="5" spans="1:8" x14ac:dyDescent="0.3">
      <c r="G5" s="29" t="str">
        <f t="shared" si="0"/>
        <v/>
      </c>
      <c r="H5" s="29" t="str">
        <f t="shared" si="1"/>
        <v/>
      </c>
    </row>
    <row r="6" spans="1:8" x14ac:dyDescent="0.3">
      <c r="G6" s="29" t="str">
        <f t="shared" si="0"/>
        <v/>
      </c>
      <c r="H6" s="29" t="str">
        <f t="shared" si="1"/>
        <v/>
      </c>
    </row>
    <row r="7" spans="1:8" x14ac:dyDescent="0.3">
      <c r="G7" s="29" t="str">
        <f t="shared" si="0"/>
        <v/>
      </c>
      <c r="H7" s="29" t="str">
        <f t="shared" si="1"/>
        <v/>
      </c>
    </row>
    <row r="8" spans="1:8" x14ac:dyDescent="0.3">
      <c r="G8" s="29" t="str">
        <f t="shared" si="0"/>
        <v/>
      </c>
      <c r="H8" s="29" t="str">
        <f t="shared" si="1"/>
        <v/>
      </c>
    </row>
    <row r="9" spans="1:8" x14ac:dyDescent="0.3">
      <c r="G9" s="29" t="str">
        <f t="shared" si="0"/>
        <v/>
      </c>
      <c r="H9" s="29" t="str">
        <f t="shared" si="1"/>
        <v/>
      </c>
    </row>
    <row r="10" spans="1:8" x14ac:dyDescent="0.3">
      <c r="G10" s="29" t="str">
        <f t="shared" si="0"/>
        <v/>
      </c>
      <c r="H10" s="29" t="str">
        <f t="shared" si="1"/>
        <v/>
      </c>
    </row>
    <row r="11" spans="1:8" x14ac:dyDescent="0.3">
      <c r="G11" s="29" t="str">
        <f t="shared" si="0"/>
        <v/>
      </c>
      <c r="H11" s="29" t="str">
        <f t="shared" si="1"/>
        <v/>
      </c>
    </row>
    <row r="12" spans="1:8" x14ac:dyDescent="0.3">
      <c r="G12" s="29" t="str">
        <f t="shared" si="0"/>
        <v/>
      </c>
      <c r="H12" s="29" t="str">
        <f t="shared" si="1"/>
        <v/>
      </c>
    </row>
    <row r="13" spans="1:8" x14ac:dyDescent="0.3">
      <c r="G13" s="29" t="str">
        <f t="shared" si="0"/>
        <v/>
      </c>
      <c r="H13" s="29" t="str">
        <f t="shared" si="1"/>
        <v/>
      </c>
    </row>
    <row r="14" spans="1:8" x14ac:dyDescent="0.3">
      <c r="G14" s="29" t="str">
        <f t="shared" si="0"/>
        <v/>
      </c>
      <c r="H14" s="29" t="str">
        <f t="shared" si="1"/>
        <v/>
      </c>
    </row>
    <row r="15" spans="1:8" x14ac:dyDescent="0.3">
      <c r="G15" s="29" t="str">
        <f t="shared" si="0"/>
        <v/>
      </c>
      <c r="H15" s="29" t="str">
        <f t="shared" si="1"/>
        <v/>
      </c>
    </row>
    <row r="16" spans="1:8" x14ac:dyDescent="0.3">
      <c r="G16" s="29" t="str">
        <f t="shared" si="0"/>
        <v/>
      </c>
      <c r="H16" s="29" t="str">
        <f t="shared" si="1"/>
        <v/>
      </c>
    </row>
    <row r="17" spans="7:8" x14ac:dyDescent="0.3">
      <c r="G17" s="29" t="str">
        <f t="shared" si="0"/>
        <v/>
      </c>
      <c r="H17" s="29" t="str">
        <f t="shared" si="1"/>
        <v/>
      </c>
    </row>
    <row r="18" spans="7:8" x14ac:dyDescent="0.3">
      <c r="G18" s="29" t="str">
        <f t="shared" si="0"/>
        <v/>
      </c>
      <c r="H18" s="29" t="str">
        <f t="shared" si="1"/>
        <v/>
      </c>
    </row>
    <row r="19" spans="7:8" x14ac:dyDescent="0.3">
      <c r="G19" s="29" t="str">
        <f t="shared" si="0"/>
        <v/>
      </c>
      <c r="H19" s="29" t="str">
        <f t="shared" si="1"/>
        <v/>
      </c>
    </row>
    <row r="20" spans="7:8" x14ac:dyDescent="0.3">
      <c r="G20" s="29" t="str">
        <f t="shared" si="0"/>
        <v/>
      </c>
      <c r="H20" s="29" t="str">
        <f t="shared" si="1"/>
        <v/>
      </c>
    </row>
    <row r="21" spans="7:8" x14ac:dyDescent="0.3">
      <c r="G21" s="29" t="str">
        <f t="shared" si="0"/>
        <v/>
      </c>
      <c r="H21" s="29" t="str">
        <f t="shared" si="1"/>
        <v/>
      </c>
    </row>
    <row r="22" spans="7:8" x14ac:dyDescent="0.3">
      <c r="G22" s="29" t="str">
        <f t="shared" si="0"/>
        <v/>
      </c>
      <c r="H22" s="29" t="str">
        <f t="shared" si="1"/>
        <v/>
      </c>
    </row>
    <row r="23" spans="7:8" x14ac:dyDescent="0.3">
      <c r="G23" s="29" t="str">
        <f t="shared" si="0"/>
        <v/>
      </c>
      <c r="H23" s="29" t="str">
        <f t="shared" si="1"/>
        <v/>
      </c>
    </row>
    <row r="24" spans="7:8" x14ac:dyDescent="0.3">
      <c r="G24" s="29" t="str">
        <f t="shared" si="0"/>
        <v/>
      </c>
      <c r="H24" s="29" t="str">
        <f t="shared" si="1"/>
        <v/>
      </c>
    </row>
    <row r="25" spans="7:8" x14ac:dyDescent="0.3">
      <c r="G25" s="29" t="str">
        <f t="shared" si="0"/>
        <v/>
      </c>
      <c r="H25" s="29" t="str">
        <f t="shared" si="1"/>
        <v/>
      </c>
    </row>
    <row r="26" spans="7:8" x14ac:dyDescent="0.3">
      <c r="G26" s="29" t="str">
        <f t="shared" si="0"/>
        <v/>
      </c>
      <c r="H26" s="29" t="str">
        <f t="shared" si="1"/>
        <v/>
      </c>
    </row>
    <row r="27" spans="7:8" x14ac:dyDescent="0.3">
      <c r="G27" s="29" t="str">
        <f t="shared" si="0"/>
        <v/>
      </c>
      <c r="H27" s="29" t="str">
        <f t="shared" si="1"/>
        <v/>
      </c>
    </row>
    <row r="28" spans="7:8" x14ac:dyDescent="0.3">
      <c r="G28" s="29" t="str">
        <f t="shared" si="0"/>
        <v/>
      </c>
      <c r="H28" s="29" t="str">
        <f t="shared" si="1"/>
        <v/>
      </c>
    </row>
    <row r="29" spans="7:8" x14ac:dyDescent="0.3">
      <c r="G29" s="29" t="str">
        <f t="shared" si="0"/>
        <v/>
      </c>
      <c r="H29" s="29" t="str">
        <f t="shared" si="1"/>
        <v/>
      </c>
    </row>
    <row r="30" spans="7:8" x14ac:dyDescent="0.3">
      <c r="G30" s="29" t="str">
        <f t="shared" si="0"/>
        <v/>
      </c>
      <c r="H30" s="29" t="str">
        <f t="shared" si="1"/>
        <v/>
      </c>
    </row>
    <row r="31" spans="7:8" x14ac:dyDescent="0.3">
      <c r="G31" s="29" t="str">
        <f t="shared" si="0"/>
        <v/>
      </c>
      <c r="H31" s="29" t="str">
        <f t="shared" si="1"/>
        <v/>
      </c>
    </row>
    <row r="32" spans="7:8" x14ac:dyDescent="0.3">
      <c r="G32" s="29" t="str">
        <f t="shared" si="0"/>
        <v/>
      </c>
      <c r="H32" s="29" t="str">
        <f t="shared" si="1"/>
        <v/>
      </c>
    </row>
    <row r="33" spans="7:8" x14ac:dyDescent="0.3">
      <c r="G33" s="29" t="str">
        <f t="shared" si="0"/>
        <v/>
      </c>
      <c r="H33" s="29" t="str">
        <f t="shared" si="1"/>
        <v/>
      </c>
    </row>
    <row r="34" spans="7:8" x14ac:dyDescent="0.3">
      <c r="G34" s="29" t="str">
        <f t="shared" si="0"/>
        <v/>
      </c>
      <c r="H34" s="29" t="str">
        <f t="shared" si="1"/>
        <v/>
      </c>
    </row>
    <row r="35" spans="7:8" x14ac:dyDescent="0.3">
      <c r="G35" s="29" t="str">
        <f t="shared" si="0"/>
        <v/>
      </c>
      <c r="H35" s="29" t="str">
        <f t="shared" si="1"/>
        <v/>
      </c>
    </row>
    <row r="36" spans="7:8" x14ac:dyDescent="0.3">
      <c r="G36" s="29" t="str">
        <f t="shared" si="0"/>
        <v/>
      </c>
      <c r="H36" s="29" t="str">
        <f t="shared" si="1"/>
        <v/>
      </c>
    </row>
    <row r="37" spans="7:8" x14ac:dyDescent="0.3">
      <c r="G37" s="29" t="str">
        <f t="shared" si="0"/>
        <v/>
      </c>
      <c r="H37" s="29" t="str">
        <f t="shared" si="1"/>
        <v/>
      </c>
    </row>
    <row r="38" spans="7:8" x14ac:dyDescent="0.3">
      <c r="G38" s="29" t="str">
        <f t="shared" si="0"/>
        <v/>
      </c>
      <c r="H38" s="29" t="str">
        <f t="shared" si="1"/>
        <v/>
      </c>
    </row>
    <row r="39" spans="7:8" x14ac:dyDescent="0.3">
      <c r="G39" s="29" t="str">
        <f t="shared" si="0"/>
        <v/>
      </c>
      <c r="H39" s="29" t="str">
        <f t="shared" si="1"/>
        <v/>
      </c>
    </row>
    <row r="40" spans="7:8" x14ac:dyDescent="0.3">
      <c r="G40" s="29" t="str">
        <f t="shared" si="0"/>
        <v/>
      </c>
      <c r="H40" s="29" t="str">
        <f t="shared" si="1"/>
        <v/>
      </c>
    </row>
    <row r="41" spans="7:8" x14ac:dyDescent="0.3">
      <c r="G41" s="29" t="str">
        <f t="shared" si="0"/>
        <v/>
      </c>
      <c r="H41" s="29" t="str">
        <f t="shared" si="1"/>
        <v/>
      </c>
    </row>
    <row r="42" spans="7:8" x14ac:dyDescent="0.3">
      <c r="G42" s="29" t="str">
        <f t="shared" si="0"/>
        <v/>
      </c>
      <c r="H42" s="29" t="str">
        <f t="shared" si="1"/>
        <v/>
      </c>
    </row>
    <row r="43" spans="7:8" x14ac:dyDescent="0.3">
      <c r="G43" s="29" t="str">
        <f t="shared" si="0"/>
        <v/>
      </c>
      <c r="H43" s="29" t="str">
        <f t="shared" si="1"/>
        <v/>
      </c>
    </row>
    <row r="44" spans="7:8" x14ac:dyDescent="0.3">
      <c r="G44" s="29" t="str">
        <f t="shared" si="0"/>
        <v/>
      </c>
      <c r="H44" s="29" t="str">
        <f t="shared" si="1"/>
        <v/>
      </c>
    </row>
    <row r="45" spans="7:8" x14ac:dyDescent="0.3">
      <c r="G45" s="29" t="str">
        <f t="shared" si="0"/>
        <v/>
      </c>
      <c r="H45" s="29" t="str">
        <f t="shared" si="1"/>
        <v/>
      </c>
    </row>
    <row r="46" spans="7:8" x14ac:dyDescent="0.3">
      <c r="G46" s="29" t="str">
        <f t="shared" si="0"/>
        <v/>
      </c>
      <c r="H46" s="29" t="str">
        <f t="shared" si="1"/>
        <v/>
      </c>
    </row>
    <row r="47" spans="7:8" x14ac:dyDescent="0.3">
      <c r="G47" s="29" t="str">
        <f t="shared" si="0"/>
        <v/>
      </c>
      <c r="H47" s="29" t="str">
        <f t="shared" si="1"/>
        <v/>
      </c>
    </row>
    <row r="48" spans="7:8" x14ac:dyDescent="0.3">
      <c r="G48" s="29" t="str">
        <f t="shared" si="0"/>
        <v/>
      </c>
      <c r="H48" s="29" t="str">
        <f t="shared" si="1"/>
        <v/>
      </c>
    </row>
    <row r="49" spans="7:8" x14ac:dyDescent="0.3">
      <c r="G49" s="29" t="str">
        <f t="shared" si="0"/>
        <v/>
      </c>
      <c r="H49" s="29" t="str">
        <f t="shared" si="1"/>
        <v/>
      </c>
    </row>
    <row r="50" spans="7:8" x14ac:dyDescent="0.3">
      <c r="G50" s="29" t="str">
        <f t="shared" si="0"/>
        <v/>
      </c>
      <c r="H50" s="29" t="str">
        <f t="shared" si="1"/>
        <v/>
      </c>
    </row>
    <row r="51" spans="7:8" x14ac:dyDescent="0.3">
      <c r="G51" s="29" t="str">
        <f t="shared" si="0"/>
        <v/>
      </c>
      <c r="H51" s="29" t="str">
        <f t="shared" si="1"/>
        <v/>
      </c>
    </row>
    <row r="52" spans="7:8" x14ac:dyDescent="0.3">
      <c r="G52" s="29" t="str">
        <f t="shared" si="0"/>
        <v/>
      </c>
      <c r="H52" s="29" t="str">
        <f t="shared" si="1"/>
        <v/>
      </c>
    </row>
    <row r="53" spans="7:8" x14ac:dyDescent="0.3">
      <c r="G53" s="29" t="str">
        <f t="shared" si="0"/>
        <v/>
      </c>
      <c r="H53" s="29" t="str">
        <f t="shared" si="1"/>
        <v/>
      </c>
    </row>
    <row r="54" spans="7:8" x14ac:dyDescent="0.3">
      <c r="G54" s="29" t="str">
        <f t="shared" si="0"/>
        <v/>
      </c>
      <c r="H54" s="29" t="str">
        <f t="shared" si="1"/>
        <v/>
      </c>
    </row>
    <row r="55" spans="7:8" x14ac:dyDescent="0.3">
      <c r="G55" s="29" t="str">
        <f t="shared" si="0"/>
        <v/>
      </c>
      <c r="H55" s="29" t="str">
        <f t="shared" si="1"/>
        <v/>
      </c>
    </row>
    <row r="56" spans="7:8" x14ac:dyDescent="0.3">
      <c r="G56" s="29" t="str">
        <f t="shared" si="0"/>
        <v/>
      </c>
      <c r="H56" s="29" t="str">
        <f t="shared" si="1"/>
        <v/>
      </c>
    </row>
    <row r="57" spans="7:8" x14ac:dyDescent="0.3">
      <c r="G57" s="29" t="str">
        <f t="shared" si="0"/>
        <v/>
      </c>
      <c r="H57" s="29" t="str">
        <f t="shared" si="1"/>
        <v/>
      </c>
    </row>
    <row r="58" spans="7:8" x14ac:dyDescent="0.3">
      <c r="G58" s="29" t="str">
        <f t="shared" si="0"/>
        <v/>
      </c>
      <c r="H58" s="29" t="str">
        <f t="shared" si="1"/>
        <v/>
      </c>
    </row>
    <row r="59" spans="7:8" x14ac:dyDescent="0.3">
      <c r="G59" s="29" t="str">
        <f t="shared" si="0"/>
        <v/>
      </c>
      <c r="H59" s="29" t="str">
        <f t="shared" si="1"/>
        <v/>
      </c>
    </row>
    <row r="60" spans="7:8" x14ac:dyDescent="0.3">
      <c r="G60" s="29" t="str">
        <f t="shared" si="0"/>
        <v/>
      </c>
      <c r="H60" s="29" t="str">
        <f t="shared" si="1"/>
        <v/>
      </c>
    </row>
    <row r="61" spans="7:8" x14ac:dyDescent="0.3">
      <c r="G61" s="29" t="str">
        <f t="shared" si="0"/>
        <v/>
      </c>
      <c r="H61" s="29" t="str">
        <f t="shared" si="1"/>
        <v/>
      </c>
    </row>
    <row r="62" spans="7:8" x14ac:dyDescent="0.3">
      <c r="G62" s="29" t="str">
        <f t="shared" si="0"/>
        <v/>
      </c>
      <c r="H62" s="29" t="str">
        <f t="shared" si="1"/>
        <v/>
      </c>
    </row>
    <row r="63" spans="7:8" x14ac:dyDescent="0.3">
      <c r="G63" s="29" t="str">
        <f t="shared" si="0"/>
        <v/>
      </c>
      <c r="H63" s="29" t="str">
        <f t="shared" si="1"/>
        <v/>
      </c>
    </row>
    <row r="64" spans="7:8" x14ac:dyDescent="0.3">
      <c r="G64" s="29" t="str">
        <f t="shared" si="0"/>
        <v/>
      </c>
      <c r="H64" s="29" t="str">
        <f t="shared" si="1"/>
        <v/>
      </c>
    </row>
    <row r="65" spans="7:8" x14ac:dyDescent="0.3">
      <c r="G65" s="29" t="str">
        <f t="shared" si="0"/>
        <v/>
      </c>
      <c r="H65" s="29" t="str">
        <f t="shared" si="1"/>
        <v/>
      </c>
    </row>
    <row r="66" spans="7:8" x14ac:dyDescent="0.3">
      <c r="G66" s="29" t="str">
        <f t="shared" si="0"/>
        <v/>
      </c>
      <c r="H66" s="29" t="str">
        <f t="shared" si="1"/>
        <v/>
      </c>
    </row>
    <row r="67" spans="7:8" x14ac:dyDescent="0.3">
      <c r="G67" s="29" t="str">
        <f t="shared" ref="G67:G130" si="2">IF(C67&lt;&gt;"", 0.7426*(2+(PI()^2/3-2)/(1+(2*PI()*(EXP(ABS(C67)/86.17333262-2)-1.075*EXP(-2)))^(3/2))^(2/3)),"")</f>
        <v/>
      </c>
      <c r="H67" s="29" t="str">
        <f t="shared" ref="H67:H130" si="3">IF(AND(A67&lt;&gt;"",B67&lt;&gt;"",G67&lt;&gt;""),A67*B67*G67*0.000001,"")</f>
        <v/>
      </c>
    </row>
    <row r="68" spans="7:8" x14ac:dyDescent="0.3">
      <c r="G68" s="29" t="str">
        <f t="shared" si="2"/>
        <v/>
      </c>
      <c r="H68" s="29" t="str">
        <f t="shared" si="3"/>
        <v/>
      </c>
    </row>
    <row r="69" spans="7:8" x14ac:dyDescent="0.3">
      <c r="G69" s="29" t="str">
        <f t="shared" si="2"/>
        <v/>
      </c>
      <c r="H69" s="29" t="str">
        <f t="shared" si="3"/>
        <v/>
      </c>
    </row>
    <row r="70" spans="7:8" x14ac:dyDescent="0.3">
      <c r="G70" s="29" t="str">
        <f t="shared" si="2"/>
        <v/>
      </c>
      <c r="H70" s="29" t="str">
        <f t="shared" si="3"/>
        <v/>
      </c>
    </row>
    <row r="71" spans="7:8" x14ac:dyDescent="0.3">
      <c r="G71" s="29" t="str">
        <f t="shared" si="2"/>
        <v/>
      </c>
      <c r="H71" s="29" t="str">
        <f t="shared" si="3"/>
        <v/>
      </c>
    </row>
    <row r="72" spans="7:8" x14ac:dyDescent="0.3">
      <c r="G72" s="29" t="str">
        <f t="shared" si="2"/>
        <v/>
      </c>
      <c r="H72" s="29" t="str">
        <f t="shared" si="3"/>
        <v/>
      </c>
    </row>
    <row r="73" spans="7:8" x14ac:dyDescent="0.3">
      <c r="G73" s="29" t="str">
        <f t="shared" si="2"/>
        <v/>
      </c>
      <c r="H73" s="29" t="str">
        <f t="shared" si="3"/>
        <v/>
      </c>
    </row>
    <row r="74" spans="7:8" x14ac:dyDescent="0.3">
      <c r="G74" s="29" t="str">
        <f t="shared" si="2"/>
        <v/>
      </c>
      <c r="H74" s="29" t="str">
        <f t="shared" si="3"/>
        <v/>
      </c>
    </row>
    <row r="75" spans="7:8" x14ac:dyDescent="0.3">
      <c r="G75" s="29" t="str">
        <f t="shared" si="2"/>
        <v/>
      </c>
      <c r="H75" s="29" t="str">
        <f t="shared" si="3"/>
        <v/>
      </c>
    </row>
    <row r="76" spans="7:8" x14ac:dyDescent="0.3">
      <c r="G76" s="29" t="str">
        <f t="shared" si="2"/>
        <v/>
      </c>
      <c r="H76" s="29" t="str">
        <f t="shared" si="3"/>
        <v/>
      </c>
    </row>
    <row r="77" spans="7:8" x14ac:dyDescent="0.3">
      <c r="G77" s="29" t="str">
        <f t="shared" si="2"/>
        <v/>
      </c>
      <c r="H77" s="29" t="str">
        <f t="shared" si="3"/>
        <v/>
      </c>
    </row>
    <row r="78" spans="7:8" x14ac:dyDescent="0.3">
      <c r="G78" s="29" t="str">
        <f t="shared" si="2"/>
        <v/>
      </c>
      <c r="H78" s="29" t="str">
        <f t="shared" si="3"/>
        <v/>
      </c>
    </row>
    <row r="79" spans="7:8" x14ac:dyDescent="0.3">
      <c r="G79" s="29" t="str">
        <f t="shared" si="2"/>
        <v/>
      </c>
      <c r="H79" s="29" t="str">
        <f t="shared" si="3"/>
        <v/>
      </c>
    </row>
    <row r="80" spans="7:8" x14ac:dyDescent="0.3">
      <c r="G80" s="29" t="str">
        <f t="shared" si="2"/>
        <v/>
      </c>
      <c r="H80" s="29" t="str">
        <f t="shared" si="3"/>
        <v/>
      </c>
    </row>
    <row r="81" spans="7:8" x14ac:dyDescent="0.3">
      <c r="G81" s="29" t="str">
        <f t="shared" si="2"/>
        <v/>
      </c>
      <c r="H81" s="29" t="str">
        <f t="shared" si="3"/>
        <v/>
      </c>
    </row>
    <row r="82" spans="7:8" x14ac:dyDescent="0.3">
      <c r="G82" s="29" t="str">
        <f t="shared" si="2"/>
        <v/>
      </c>
      <c r="H82" s="29" t="str">
        <f t="shared" si="3"/>
        <v/>
      </c>
    </row>
    <row r="83" spans="7:8" x14ac:dyDescent="0.3">
      <c r="G83" s="29" t="str">
        <f t="shared" si="2"/>
        <v/>
      </c>
      <c r="H83" s="29" t="str">
        <f t="shared" si="3"/>
        <v/>
      </c>
    </row>
    <row r="84" spans="7:8" x14ac:dyDescent="0.3">
      <c r="G84" s="29" t="str">
        <f t="shared" si="2"/>
        <v/>
      </c>
      <c r="H84" s="29" t="str">
        <f t="shared" si="3"/>
        <v/>
      </c>
    </row>
    <row r="85" spans="7:8" x14ac:dyDescent="0.3">
      <c r="G85" s="29" t="str">
        <f t="shared" si="2"/>
        <v/>
      </c>
      <c r="H85" s="29" t="str">
        <f t="shared" si="3"/>
        <v/>
      </c>
    </row>
    <row r="86" spans="7:8" x14ac:dyDescent="0.3">
      <c r="G86" s="29" t="str">
        <f t="shared" si="2"/>
        <v/>
      </c>
      <c r="H86" s="29" t="str">
        <f t="shared" si="3"/>
        <v/>
      </c>
    </row>
    <row r="87" spans="7:8" x14ac:dyDescent="0.3">
      <c r="G87" s="29" t="str">
        <f t="shared" si="2"/>
        <v/>
      </c>
      <c r="H87" s="29" t="str">
        <f t="shared" si="3"/>
        <v/>
      </c>
    </row>
    <row r="88" spans="7:8" x14ac:dyDescent="0.3">
      <c r="G88" s="29" t="str">
        <f t="shared" si="2"/>
        <v/>
      </c>
      <c r="H88" s="29" t="str">
        <f t="shared" si="3"/>
        <v/>
      </c>
    </row>
    <row r="89" spans="7:8" x14ac:dyDescent="0.3">
      <c r="G89" s="29" t="str">
        <f t="shared" si="2"/>
        <v/>
      </c>
      <c r="H89" s="29" t="str">
        <f t="shared" si="3"/>
        <v/>
      </c>
    </row>
    <row r="90" spans="7:8" x14ac:dyDescent="0.3">
      <c r="G90" s="29" t="str">
        <f t="shared" si="2"/>
        <v/>
      </c>
      <c r="H90" s="29" t="str">
        <f t="shared" si="3"/>
        <v/>
      </c>
    </row>
    <row r="91" spans="7:8" x14ac:dyDescent="0.3">
      <c r="G91" s="29" t="str">
        <f t="shared" si="2"/>
        <v/>
      </c>
      <c r="H91" s="29" t="str">
        <f t="shared" si="3"/>
        <v/>
      </c>
    </row>
    <row r="92" spans="7:8" x14ac:dyDescent="0.3">
      <c r="G92" s="29" t="str">
        <f t="shared" si="2"/>
        <v/>
      </c>
      <c r="H92" s="29" t="str">
        <f t="shared" si="3"/>
        <v/>
      </c>
    </row>
    <row r="93" spans="7:8" x14ac:dyDescent="0.3">
      <c r="G93" s="29" t="str">
        <f t="shared" si="2"/>
        <v/>
      </c>
      <c r="H93" s="29" t="str">
        <f t="shared" si="3"/>
        <v/>
      </c>
    </row>
    <row r="94" spans="7:8" x14ac:dyDescent="0.3">
      <c r="G94" s="29" t="str">
        <f t="shared" si="2"/>
        <v/>
      </c>
      <c r="H94" s="29" t="str">
        <f t="shared" si="3"/>
        <v/>
      </c>
    </row>
    <row r="95" spans="7:8" x14ac:dyDescent="0.3">
      <c r="G95" s="29" t="str">
        <f t="shared" si="2"/>
        <v/>
      </c>
      <c r="H95" s="29" t="str">
        <f t="shared" si="3"/>
        <v/>
      </c>
    </row>
    <row r="96" spans="7:8" x14ac:dyDescent="0.3">
      <c r="G96" s="29" t="str">
        <f t="shared" si="2"/>
        <v/>
      </c>
      <c r="H96" s="29" t="str">
        <f t="shared" si="3"/>
        <v/>
      </c>
    </row>
    <row r="97" spans="7:8" x14ac:dyDescent="0.3">
      <c r="G97" s="29" t="str">
        <f t="shared" si="2"/>
        <v/>
      </c>
      <c r="H97" s="29" t="str">
        <f t="shared" si="3"/>
        <v/>
      </c>
    </row>
    <row r="98" spans="7:8" x14ac:dyDescent="0.3">
      <c r="G98" s="29" t="str">
        <f t="shared" si="2"/>
        <v/>
      </c>
      <c r="H98" s="29" t="str">
        <f t="shared" si="3"/>
        <v/>
      </c>
    </row>
    <row r="99" spans="7:8" x14ac:dyDescent="0.3">
      <c r="G99" s="29" t="str">
        <f t="shared" si="2"/>
        <v/>
      </c>
      <c r="H99" s="29" t="str">
        <f t="shared" si="3"/>
        <v/>
      </c>
    </row>
    <row r="100" spans="7:8" x14ac:dyDescent="0.3">
      <c r="G100" s="29" t="str">
        <f t="shared" si="2"/>
        <v/>
      </c>
      <c r="H100" s="29" t="str">
        <f t="shared" si="3"/>
        <v/>
      </c>
    </row>
    <row r="101" spans="7:8" x14ac:dyDescent="0.3">
      <c r="G101" s="29" t="str">
        <f t="shared" si="2"/>
        <v/>
      </c>
      <c r="H101" s="29" t="str">
        <f t="shared" si="3"/>
        <v/>
      </c>
    </row>
    <row r="102" spans="7:8" x14ac:dyDescent="0.3">
      <c r="G102" s="29" t="str">
        <f t="shared" si="2"/>
        <v/>
      </c>
      <c r="H102" s="29" t="str">
        <f t="shared" si="3"/>
        <v/>
      </c>
    </row>
    <row r="103" spans="7:8" x14ac:dyDescent="0.3">
      <c r="G103" s="29" t="str">
        <f t="shared" si="2"/>
        <v/>
      </c>
      <c r="H103" s="29" t="str">
        <f t="shared" si="3"/>
        <v/>
      </c>
    </row>
    <row r="104" spans="7:8" x14ac:dyDescent="0.3">
      <c r="G104" s="29" t="str">
        <f t="shared" si="2"/>
        <v/>
      </c>
      <c r="H104" s="29" t="str">
        <f t="shared" si="3"/>
        <v/>
      </c>
    </row>
    <row r="105" spans="7:8" x14ac:dyDescent="0.3">
      <c r="G105" s="29" t="str">
        <f t="shared" si="2"/>
        <v/>
      </c>
      <c r="H105" s="29" t="str">
        <f t="shared" si="3"/>
        <v/>
      </c>
    </row>
    <row r="106" spans="7:8" x14ac:dyDescent="0.3">
      <c r="G106" s="29" t="str">
        <f t="shared" si="2"/>
        <v/>
      </c>
      <c r="H106" s="29" t="str">
        <f t="shared" si="3"/>
        <v/>
      </c>
    </row>
    <row r="107" spans="7:8" x14ac:dyDescent="0.3">
      <c r="G107" s="29" t="str">
        <f t="shared" si="2"/>
        <v/>
      </c>
      <c r="H107" s="29" t="str">
        <f t="shared" si="3"/>
        <v/>
      </c>
    </row>
    <row r="108" spans="7:8" x14ac:dyDescent="0.3">
      <c r="G108" s="29" t="str">
        <f t="shared" si="2"/>
        <v/>
      </c>
      <c r="H108" s="29" t="str">
        <f t="shared" si="3"/>
        <v/>
      </c>
    </row>
    <row r="109" spans="7:8" x14ac:dyDescent="0.3">
      <c r="G109" s="29" t="str">
        <f t="shared" si="2"/>
        <v/>
      </c>
      <c r="H109" s="29" t="str">
        <f t="shared" si="3"/>
        <v/>
      </c>
    </row>
    <row r="110" spans="7:8" x14ac:dyDescent="0.3">
      <c r="G110" s="29" t="str">
        <f t="shared" si="2"/>
        <v/>
      </c>
      <c r="H110" s="29" t="str">
        <f t="shared" si="3"/>
        <v/>
      </c>
    </row>
    <row r="111" spans="7:8" x14ac:dyDescent="0.3">
      <c r="G111" s="29" t="str">
        <f t="shared" si="2"/>
        <v/>
      </c>
      <c r="H111" s="29" t="str">
        <f t="shared" si="3"/>
        <v/>
      </c>
    </row>
    <row r="112" spans="7:8" x14ac:dyDescent="0.3">
      <c r="G112" s="29" t="str">
        <f t="shared" si="2"/>
        <v/>
      </c>
      <c r="H112" s="29" t="str">
        <f t="shared" si="3"/>
        <v/>
      </c>
    </row>
    <row r="113" spans="7:8" x14ac:dyDescent="0.3">
      <c r="G113" s="29" t="str">
        <f t="shared" si="2"/>
        <v/>
      </c>
      <c r="H113" s="29" t="str">
        <f t="shared" si="3"/>
        <v/>
      </c>
    </row>
    <row r="114" spans="7:8" x14ac:dyDescent="0.3">
      <c r="G114" s="29" t="str">
        <f t="shared" si="2"/>
        <v/>
      </c>
      <c r="H114" s="29" t="str">
        <f t="shared" si="3"/>
        <v/>
      </c>
    </row>
    <row r="115" spans="7:8" x14ac:dyDescent="0.3">
      <c r="G115" s="29" t="str">
        <f t="shared" si="2"/>
        <v/>
      </c>
      <c r="H115" s="29" t="str">
        <f t="shared" si="3"/>
        <v/>
      </c>
    </row>
    <row r="116" spans="7:8" x14ac:dyDescent="0.3">
      <c r="G116" s="29" t="str">
        <f t="shared" si="2"/>
        <v/>
      </c>
      <c r="H116" s="29" t="str">
        <f t="shared" si="3"/>
        <v/>
      </c>
    </row>
    <row r="117" spans="7:8" x14ac:dyDescent="0.3">
      <c r="G117" s="29" t="str">
        <f t="shared" si="2"/>
        <v/>
      </c>
      <c r="H117" s="29" t="str">
        <f t="shared" si="3"/>
        <v/>
      </c>
    </row>
    <row r="118" spans="7:8" x14ac:dyDescent="0.3">
      <c r="G118" s="29" t="str">
        <f t="shared" si="2"/>
        <v/>
      </c>
      <c r="H118" s="29" t="str">
        <f t="shared" si="3"/>
        <v/>
      </c>
    </row>
    <row r="119" spans="7:8" x14ac:dyDescent="0.3">
      <c r="G119" s="29" t="str">
        <f t="shared" si="2"/>
        <v/>
      </c>
      <c r="H119" s="29" t="str">
        <f t="shared" si="3"/>
        <v/>
      </c>
    </row>
    <row r="120" spans="7:8" x14ac:dyDescent="0.3">
      <c r="G120" s="29" t="str">
        <f t="shared" si="2"/>
        <v/>
      </c>
      <c r="H120" s="29" t="str">
        <f t="shared" si="3"/>
        <v/>
      </c>
    </row>
    <row r="121" spans="7:8" x14ac:dyDescent="0.3">
      <c r="G121" s="29" t="str">
        <f t="shared" si="2"/>
        <v/>
      </c>
      <c r="H121" s="29" t="str">
        <f t="shared" si="3"/>
        <v/>
      </c>
    </row>
    <row r="122" spans="7:8" x14ac:dyDescent="0.3">
      <c r="G122" s="29" t="str">
        <f t="shared" si="2"/>
        <v/>
      </c>
      <c r="H122" s="29" t="str">
        <f t="shared" si="3"/>
        <v/>
      </c>
    </row>
    <row r="123" spans="7:8" x14ac:dyDescent="0.3">
      <c r="G123" s="29" t="str">
        <f t="shared" si="2"/>
        <v/>
      </c>
      <c r="H123" s="29" t="str">
        <f t="shared" si="3"/>
        <v/>
      </c>
    </row>
    <row r="124" spans="7:8" x14ac:dyDescent="0.3">
      <c r="G124" s="29" t="str">
        <f t="shared" si="2"/>
        <v/>
      </c>
      <c r="H124" s="29" t="str">
        <f t="shared" si="3"/>
        <v/>
      </c>
    </row>
    <row r="125" spans="7:8" x14ac:dyDescent="0.3">
      <c r="G125" s="29" t="str">
        <f t="shared" si="2"/>
        <v/>
      </c>
      <c r="H125" s="29" t="str">
        <f t="shared" si="3"/>
        <v/>
      </c>
    </row>
    <row r="126" spans="7:8" x14ac:dyDescent="0.3">
      <c r="G126" s="29" t="str">
        <f t="shared" si="2"/>
        <v/>
      </c>
      <c r="H126" s="29" t="str">
        <f t="shared" si="3"/>
        <v/>
      </c>
    </row>
    <row r="127" spans="7:8" x14ac:dyDescent="0.3">
      <c r="G127" s="29" t="str">
        <f t="shared" si="2"/>
        <v/>
      </c>
      <c r="H127" s="29" t="str">
        <f t="shared" si="3"/>
        <v/>
      </c>
    </row>
    <row r="128" spans="7:8" x14ac:dyDescent="0.3">
      <c r="G128" s="29" t="str">
        <f t="shared" si="2"/>
        <v/>
      </c>
      <c r="H128" s="29" t="str">
        <f t="shared" si="3"/>
        <v/>
      </c>
    </row>
    <row r="129" spans="7:8" x14ac:dyDescent="0.3">
      <c r="G129" s="29" t="str">
        <f t="shared" si="2"/>
        <v/>
      </c>
      <c r="H129" s="29" t="str">
        <f t="shared" si="3"/>
        <v/>
      </c>
    </row>
    <row r="130" spans="7:8" x14ac:dyDescent="0.3">
      <c r="G130" s="29" t="str">
        <f t="shared" si="2"/>
        <v/>
      </c>
      <c r="H130" s="29" t="str">
        <f t="shared" si="3"/>
        <v/>
      </c>
    </row>
    <row r="131" spans="7:8" x14ac:dyDescent="0.3">
      <c r="G131" s="29" t="str">
        <f t="shared" ref="G131:G194" si="4">IF(C131&lt;&gt;"", 0.7426*(2+(PI()^2/3-2)/(1+(2*PI()*(EXP(ABS(C131)/86.17333262-2)-1.075*EXP(-2)))^(3/2))^(2/3)),"")</f>
        <v/>
      </c>
      <c r="H131" s="29" t="str">
        <f t="shared" ref="H131:H194" si="5">IF(AND(A131&lt;&gt;"",B131&lt;&gt;"",G131&lt;&gt;""),A131*B131*G131*0.000001,"")</f>
        <v/>
      </c>
    </row>
    <row r="132" spans="7:8" x14ac:dyDescent="0.3">
      <c r="G132" s="29" t="str">
        <f t="shared" si="4"/>
        <v/>
      </c>
      <c r="H132" s="29" t="str">
        <f t="shared" si="5"/>
        <v/>
      </c>
    </row>
    <row r="133" spans="7:8" x14ac:dyDescent="0.3">
      <c r="G133" s="29" t="str">
        <f t="shared" si="4"/>
        <v/>
      </c>
      <c r="H133" s="29" t="str">
        <f t="shared" si="5"/>
        <v/>
      </c>
    </row>
    <row r="134" spans="7:8" x14ac:dyDescent="0.3">
      <c r="G134" s="29" t="str">
        <f t="shared" si="4"/>
        <v/>
      </c>
      <c r="H134" s="29" t="str">
        <f t="shared" si="5"/>
        <v/>
      </c>
    </row>
    <row r="135" spans="7:8" x14ac:dyDescent="0.3">
      <c r="G135" s="29" t="str">
        <f t="shared" si="4"/>
        <v/>
      </c>
      <c r="H135" s="29" t="str">
        <f t="shared" si="5"/>
        <v/>
      </c>
    </row>
    <row r="136" spans="7:8" x14ac:dyDescent="0.3">
      <c r="G136" s="29" t="str">
        <f t="shared" si="4"/>
        <v/>
      </c>
      <c r="H136" s="29" t="str">
        <f t="shared" si="5"/>
        <v/>
      </c>
    </row>
    <row r="137" spans="7:8" x14ac:dyDescent="0.3">
      <c r="G137" s="29" t="str">
        <f t="shared" si="4"/>
        <v/>
      </c>
      <c r="H137" s="29" t="str">
        <f t="shared" si="5"/>
        <v/>
      </c>
    </row>
    <row r="138" spans="7:8" x14ac:dyDescent="0.3">
      <c r="G138" s="29" t="str">
        <f t="shared" si="4"/>
        <v/>
      </c>
      <c r="H138" s="29" t="str">
        <f t="shared" si="5"/>
        <v/>
      </c>
    </row>
    <row r="139" spans="7:8" x14ac:dyDescent="0.3">
      <c r="G139" s="29" t="str">
        <f t="shared" si="4"/>
        <v/>
      </c>
      <c r="H139" s="29" t="str">
        <f t="shared" si="5"/>
        <v/>
      </c>
    </row>
    <row r="140" spans="7:8" x14ac:dyDescent="0.3">
      <c r="G140" s="29" t="str">
        <f t="shared" si="4"/>
        <v/>
      </c>
      <c r="H140" s="29" t="str">
        <f t="shared" si="5"/>
        <v/>
      </c>
    </row>
    <row r="141" spans="7:8" x14ac:dyDescent="0.3">
      <c r="G141" s="29" t="str">
        <f t="shared" si="4"/>
        <v/>
      </c>
      <c r="H141" s="29" t="str">
        <f t="shared" si="5"/>
        <v/>
      </c>
    </row>
    <row r="142" spans="7:8" x14ac:dyDescent="0.3">
      <c r="G142" s="29" t="str">
        <f t="shared" si="4"/>
        <v/>
      </c>
      <c r="H142" s="29" t="str">
        <f t="shared" si="5"/>
        <v/>
      </c>
    </row>
    <row r="143" spans="7:8" x14ac:dyDescent="0.3">
      <c r="G143" s="29" t="str">
        <f t="shared" si="4"/>
        <v/>
      </c>
      <c r="H143" s="29" t="str">
        <f t="shared" si="5"/>
        <v/>
      </c>
    </row>
    <row r="144" spans="7:8" x14ac:dyDescent="0.3">
      <c r="G144" s="29" t="str">
        <f t="shared" si="4"/>
        <v/>
      </c>
      <c r="H144" s="29" t="str">
        <f t="shared" si="5"/>
        <v/>
      </c>
    </row>
    <row r="145" spans="7:8" x14ac:dyDescent="0.3">
      <c r="G145" s="29" t="str">
        <f t="shared" si="4"/>
        <v/>
      </c>
      <c r="H145" s="29" t="str">
        <f t="shared" si="5"/>
        <v/>
      </c>
    </row>
    <row r="146" spans="7:8" x14ac:dyDescent="0.3">
      <c r="G146" s="29" t="str">
        <f t="shared" si="4"/>
        <v/>
      </c>
      <c r="H146" s="29" t="str">
        <f t="shared" si="5"/>
        <v/>
      </c>
    </row>
    <row r="147" spans="7:8" x14ac:dyDescent="0.3">
      <c r="G147" s="29" t="str">
        <f t="shared" si="4"/>
        <v/>
      </c>
      <c r="H147" s="29" t="str">
        <f t="shared" si="5"/>
        <v/>
      </c>
    </row>
    <row r="148" spans="7:8" x14ac:dyDescent="0.3">
      <c r="G148" s="29" t="str">
        <f t="shared" si="4"/>
        <v/>
      </c>
      <c r="H148" s="29" t="str">
        <f t="shared" si="5"/>
        <v/>
      </c>
    </row>
    <row r="149" spans="7:8" x14ac:dyDescent="0.3">
      <c r="G149" s="29" t="str">
        <f t="shared" si="4"/>
        <v/>
      </c>
      <c r="H149" s="29" t="str">
        <f t="shared" si="5"/>
        <v/>
      </c>
    </row>
    <row r="150" spans="7:8" x14ac:dyDescent="0.3">
      <c r="G150" s="29" t="str">
        <f t="shared" si="4"/>
        <v/>
      </c>
      <c r="H150" s="29" t="str">
        <f t="shared" si="5"/>
        <v/>
      </c>
    </row>
    <row r="151" spans="7:8" x14ac:dyDescent="0.3">
      <c r="G151" s="29" t="str">
        <f t="shared" si="4"/>
        <v/>
      </c>
      <c r="H151" s="29" t="str">
        <f t="shared" si="5"/>
        <v/>
      </c>
    </row>
    <row r="152" spans="7:8" x14ac:dyDescent="0.3">
      <c r="G152" s="29" t="str">
        <f t="shared" si="4"/>
        <v/>
      </c>
      <c r="H152" s="29" t="str">
        <f t="shared" si="5"/>
        <v/>
      </c>
    </row>
    <row r="153" spans="7:8" x14ac:dyDescent="0.3">
      <c r="G153" s="29" t="str">
        <f t="shared" si="4"/>
        <v/>
      </c>
      <c r="H153" s="29" t="str">
        <f t="shared" si="5"/>
        <v/>
      </c>
    </row>
    <row r="154" spans="7:8" x14ac:dyDescent="0.3">
      <c r="G154" s="29" t="str">
        <f t="shared" si="4"/>
        <v/>
      </c>
      <c r="H154" s="29" t="str">
        <f t="shared" si="5"/>
        <v/>
      </c>
    </row>
    <row r="155" spans="7:8" x14ac:dyDescent="0.3">
      <c r="G155" s="29" t="str">
        <f t="shared" si="4"/>
        <v/>
      </c>
      <c r="H155" s="29" t="str">
        <f t="shared" si="5"/>
        <v/>
      </c>
    </row>
    <row r="156" spans="7:8" x14ac:dyDescent="0.3">
      <c r="G156" s="29" t="str">
        <f t="shared" si="4"/>
        <v/>
      </c>
      <c r="H156" s="29" t="str">
        <f t="shared" si="5"/>
        <v/>
      </c>
    </row>
    <row r="157" spans="7:8" x14ac:dyDescent="0.3">
      <c r="G157" s="29" t="str">
        <f t="shared" si="4"/>
        <v/>
      </c>
      <c r="H157" s="29" t="str">
        <f t="shared" si="5"/>
        <v/>
      </c>
    </row>
    <row r="158" spans="7:8" x14ac:dyDescent="0.3">
      <c r="G158" s="29" t="str">
        <f t="shared" si="4"/>
        <v/>
      </c>
      <c r="H158" s="29" t="str">
        <f t="shared" si="5"/>
        <v/>
      </c>
    </row>
    <row r="159" spans="7:8" x14ac:dyDescent="0.3">
      <c r="G159" s="29" t="str">
        <f t="shared" si="4"/>
        <v/>
      </c>
      <c r="H159" s="29" t="str">
        <f t="shared" si="5"/>
        <v/>
      </c>
    </row>
    <row r="160" spans="7:8" x14ac:dyDescent="0.3">
      <c r="G160" s="29" t="str">
        <f t="shared" si="4"/>
        <v/>
      </c>
      <c r="H160" s="29" t="str">
        <f t="shared" si="5"/>
        <v/>
      </c>
    </row>
    <row r="161" spans="7:8" x14ac:dyDescent="0.3">
      <c r="G161" s="29" t="str">
        <f t="shared" si="4"/>
        <v/>
      </c>
      <c r="H161" s="29" t="str">
        <f t="shared" si="5"/>
        <v/>
      </c>
    </row>
    <row r="162" spans="7:8" x14ac:dyDescent="0.3">
      <c r="G162" s="29" t="str">
        <f t="shared" si="4"/>
        <v/>
      </c>
      <c r="H162" s="29" t="str">
        <f t="shared" si="5"/>
        <v/>
      </c>
    </row>
    <row r="163" spans="7:8" x14ac:dyDescent="0.3">
      <c r="G163" s="29" t="str">
        <f t="shared" si="4"/>
        <v/>
      </c>
      <c r="H163" s="29" t="str">
        <f t="shared" si="5"/>
        <v/>
      </c>
    </row>
    <row r="164" spans="7:8" x14ac:dyDescent="0.3">
      <c r="G164" s="29" t="str">
        <f t="shared" si="4"/>
        <v/>
      </c>
      <c r="H164" s="29" t="str">
        <f t="shared" si="5"/>
        <v/>
      </c>
    </row>
    <row r="165" spans="7:8" x14ac:dyDescent="0.3">
      <c r="G165" s="29" t="str">
        <f t="shared" si="4"/>
        <v/>
      </c>
      <c r="H165" s="29" t="str">
        <f t="shared" si="5"/>
        <v/>
      </c>
    </row>
    <row r="166" spans="7:8" x14ac:dyDescent="0.3">
      <c r="G166" s="29" t="str">
        <f t="shared" si="4"/>
        <v/>
      </c>
      <c r="H166" s="29" t="str">
        <f t="shared" si="5"/>
        <v/>
      </c>
    </row>
    <row r="167" spans="7:8" x14ac:dyDescent="0.3">
      <c r="G167" s="29" t="str">
        <f t="shared" si="4"/>
        <v/>
      </c>
      <c r="H167" s="29" t="str">
        <f t="shared" si="5"/>
        <v/>
      </c>
    </row>
    <row r="168" spans="7:8" x14ac:dyDescent="0.3">
      <c r="G168" s="29" t="str">
        <f t="shared" si="4"/>
        <v/>
      </c>
      <c r="H168" s="29" t="str">
        <f t="shared" si="5"/>
        <v/>
      </c>
    </row>
    <row r="169" spans="7:8" x14ac:dyDescent="0.3">
      <c r="G169" s="29" t="str">
        <f t="shared" si="4"/>
        <v/>
      </c>
      <c r="H169" s="29" t="str">
        <f t="shared" si="5"/>
        <v/>
      </c>
    </row>
    <row r="170" spans="7:8" x14ac:dyDescent="0.3">
      <c r="G170" s="29" t="str">
        <f t="shared" si="4"/>
        <v/>
      </c>
      <c r="H170" s="29" t="str">
        <f t="shared" si="5"/>
        <v/>
      </c>
    </row>
    <row r="171" spans="7:8" x14ac:dyDescent="0.3">
      <c r="G171" s="29" t="str">
        <f t="shared" si="4"/>
        <v/>
      </c>
      <c r="H171" s="29" t="str">
        <f t="shared" si="5"/>
        <v/>
      </c>
    </row>
    <row r="172" spans="7:8" x14ac:dyDescent="0.3">
      <c r="G172" s="29" t="str">
        <f t="shared" si="4"/>
        <v/>
      </c>
      <c r="H172" s="29" t="str">
        <f t="shared" si="5"/>
        <v/>
      </c>
    </row>
    <row r="173" spans="7:8" x14ac:dyDescent="0.3">
      <c r="G173" s="29" t="str">
        <f t="shared" si="4"/>
        <v/>
      </c>
      <c r="H173" s="29" t="str">
        <f t="shared" si="5"/>
        <v/>
      </c>
    </row>
    <row r="174" spans="7:8" x14ac:dyDescent="0.3">
      <c r="G174" s="29" t="str">
        <f t="shared" si="4"/>
        <v/>
      </c>
      <c r="H174" s="29" t="str">
        <f t="shared" si="5"/>
        <v/>
      </c>
    </row>
    <row r="175" spans="7:8" x14ac:dyDescent="0.3">
      <c r="G175" s="29" t="str">
        <f t="shared" si="4"/>
        <v/>
      </c>
      <c r="H175" s="29" t="str">
        <f t="shared" si="5"/>
        <v/>
      </c>
    </row>
    <row r="176" spans="7:8" x14ac:dyDescent="0.3">
      <c r="G176" s="29" t="str">
        <f t="shared" si="4"/>
        <v/>
      </c>
      <c r="H176" s="29" t="str">
        <f t="shared" si="5"/>
        <v/>
      </c>
    </row>
    <row r="177" spans="7:8" x14ac:dyDescent="0.3">
      <c r="G177" s="29" t="str">
        <f t="shared" si="4"/>
        <v/>
      </c>
      <c r="H177" s="29" t="str">
        <f t="shared" si="5"/>
        <v/>
      </c>
    </row>
    <row r="178" spans="7:8" x14ac:dyDescent="0.3">
      <c r="G178" s="29" t="str">
        <f t="shared" si="4"/>
        <v/>
      </c>
      <c r="H178" s="29" t="str">
        <f t="shared" si="5"/>
        <v/>
      </c>
    </row>
    <row r="179" spans="7:8" x14ac:dyDescent="0.3">
      <c r="G179" s="29" t="str">
        <f t="shared" si="4"/>
        <v/>
      </c>
      <c r="H179" s="29" t="str">
        <f t="shared" si="5"/>
        <v/>
      </c>
    </row>
    <row r="180" spans="7:8" x14ac:dyDescent="0.3">
      <c r="G180" s="29" t="str">
        <f t="shared" si="4"/>
        <v/>
      </c>
      <c r="H180" s="29" t="str">
        <f t="shared" si="5"/>
        <v/>
      </c>
    </row>
    <row r="181" spans="7:8" x14ac:dyDescent="0.3">
      <c r="G181" s="29" t="str">
        <f t="shared" si="4"/>
        <v/>
      </c>
      <c r="H181" s="29" t="str">
        <f t="shared" si="5"/>
        <v/>
      </c>
    </row>
    <row r="182" spans="7:8" x14ac:dyDescent="0.3">
      <c r="G182" s="29" t="str">
        <f t="shared" si="4"/>
        <v/>
      </c>
      <c r="H182" s="29" t="str">
        <f t="shared" si="5"/>
        <v/>
      </c>
    </row>
    <row r="183" spans="7:8" x14ac:dyDescent="0.3">
      <c r="G183" s="29" t="str">
        <f t="shared" si="4"/>
        <v/>
      </c>
      <c r="H183" s="29" t="str">
        <f t="shared" si="5"/>
        <v/>
      </c>
    </row>
    <row r="184" spans="7:8" x14ac:dyDescent="0.3">
      <c r="G184" s="29" t="str">
        <f t="shared" si="4"/>
        <v/>
      </c>
      <c r="H184" s="29" t="str">
        <f t="shared" si="5"/>
        <v/>
      </c>
    </row>
    <row r="185" spans="7:8" x14ac:dyDescent="0.3">
      <c r="G185" s="29" t="str">
        <f t="shared" si="4"/>
        <v/>
      </c>
      <c r="H185" s="29" t="str">
        <f t="shared" si="5"/>
        <v/>
      </c>
    </row>
    <row r="186" spans="7:8" x14ac:dyDescent="0.3">
      <c r="G186" s="29" t="str">
        <f t="shared" si="4"/>
        <v/>
      </c>
      <c r="H186" s="29" t="str">
        <f t="shared" si="5"/>
        <v/>
      </c>
    </row>
    <row r="187" spans="7:8" x14ac:dyDescent="0.3">
      <c r="G187" s="29" t="str">
        <f t="shared" si="4"/>
        <v/>
      </c>
      <c r="H187" s="29" t="str">
        <f t="shared" si="5"/>
        <v/>
      </c>
    </row>
    <row r="188" spans="7:8" x14ac:dyDescent="0.3">
      <c r="G188" s="29" t="str">
        <f t="shared" si="4"/>
        <v/>
      </c>
      <c r="H188" s="29" t="str">
        <f t="shared" si="5"/>
        <v/>
      </c>
    </row>
    <row r="189" spans="7:8" x14ac:dyDescent="0.3">
      <c r="G189" s="29" t="str">
        <f t="shared" si="4"/>
        <v/>
      </c>
      <c r="H189" s="29" t="str">
        <f t="shared" si="5"/>
        <v/>
      </c>
    </row>
    <row r="190" spans="7:8" x14ac:dyDescent="0.3">
      <c r="G190" s="29" t="str">
        <f t="shared" si="4"/>
        <v/>
      </c>
      <c r="H190" s="29" t="str">
        <f t="shared" si="5"/>
        <v/>
      </c>
    </row>
    <row r="191" spans="7:8" x14ac:dyDescent="0.3">
      <c r="G191" s="29" t="str">
        <f t="shared" si="4"/>
        <v/>
      </c>
      <c r="H191" s="29" t="str">
        <f t="shared" si="5"/>
        <v/>
      </c>
    </row>
    <row r="192" spans="7:8" x14ac:dyDescent="0.3">
      <c r="G192" s="29" t="str">
        <f t="shared" si="4"/>
        <v/>
      </c>
      <c r="H192" s="29" t="str">
        <f t="shared" si="5"/>
        <v/>
      </c>
    </row>
    <row r="193" spans="7:8" x14ac:dyDescent="0.3">
      <c r="G193" s="29" t="str">
        <f t="shared" si="4"/>
        <v/>
      </c>
      <c r="H193" s="29" t="str">
        <f t="shared" si="5"/>
        <v/>
      </c>
    </row>
    <row r="194" spans="7:8" x14ac:dyDescent="0.3">
      <c r="G194" s="29" t="str">
        <f t="shared" si="4"/>
        <v/>
      </c>
      <c r="H194" s="29" t="str">
        <f t="shared" si="5"/>
        <v/>
      </c>
    </row>
    <row r="195" spans="7:8" x14ac:dyDescent="0.3">
      <c r="G195" s="29" t="str">
        <f t="shared" ref="G195:G258" si="6">IF(C195&lt;&gt;"", 0.7426*(2+(PI()^2/3-2)/(1+(2*PI()*(EXP(ABS(C195)/86.17333262-2)-1.075*EXP(-2)))^(3/2))^(2/3)),"")</f>
        <v/>
      </c>
      <c r="H195" s="29" t="str">
        <f t="shared" ref="H195:H258" si="7">IF(AND(A195&lt;&gt;"",B195&lt;&gt;"",G195&lt;&gt;""),A195*B195*G195*0.000001,"")</f>
        <v/>
      </c>
    </row>
    <row r="196" spans="7:8" x14ac:dyDescent="0.3">
      <c r="G196" s="29" t="str">
        <f t="shared" si="6"/>
        <v/>
      </c>
      <c r="H196" s="29" t="str">
        <f t="shared" si="7"/>
        <v/>
      </c>
    </row>
    <row r="197" spans="7:8" x14ac:dyDescent="0.3">
      <c r="G197" s="29" t="str">
        <f t="shared" si="6"/>
        <v/>
      </c>
      <c r="H197" s="29" t="str">
        <f t="shared" si="7"/>
        <v/>
      </c>
    </row>
    <row r="198" spans="7:8" x14ac:dyDescent="0.3">
      <c r="G198" s="29" t="str">
        <f t="shared" si="6"/>
        <v/>
      </c>
      <c r="H198" s="29" t="str">
        <f t="shared" si="7"/>
        <v/>
      </c>
    </row>
    <row r="199" spans="7:8" x14ac:dyDescent="0.3">
      <c r="G199" s="29" t="str">
        <f t="shared" si="6"/>
        <v/>
      </c>
      <c r="H199" s="29" t="str">
        <f t="shared" si="7"/>
        <v/>
      </c>
    </row>
    <row r="200" spans="7:8" x14ac:dyDescent="0.3">
      <c r="G200" s="29" t="str">
        <f t="shared" si="6"/>
        <v/>
      </c>
      <c r="H200" s="29" t="str">
        <f t="shared" si="7"/>
        <v/>
      </c>
    </row>
    <row r="201" spans="7:8" x14ac:dyDescent="0.3">
      <c r="G201" s="29" t="str">
        <f t="shared" si="6"/>
        <v/>
      </c>
      <c r="H201" s="29" t="str">
        <f t="shared" si="7"/>
        <v/>
      </c>
    </row>
    <row r="202" spans="7:8" x14ac:dyDescent="0.3">
      <c r="G202" s="29" t="str">
        <f t="shared" si="6"/>
        <v/>
      </c>
      <c r="H202" s="29" t="str">
        <f t="shared" si="7"/>
        <v/>
      </c>
    </row>
    <row r="203" spans="7:8" x14ac:dyDescent="0.3">
      <c r="G203" s="29" t="str">
        <f t="shared" si="6"/>
        <v/>
      </c>
      <c r="H203" s="29" t="str">
        <f t="shared" si="7"/>
        <v/>
      </c>
    </row>
    <row r="204" spans="7:8" x14ac:dyDescent="0.3">
      <c r="G204" s="29" t="str">
        <f t="shared" si="6"/>
        <v/>
      </c>
      <c r="H204" s="29" t="str">
        <f t="shared" si="7"/>
        <v/>
      </c>
    </row>
    <row r="205" spans="7:8" x14ac:dyDescent="0.3">
      <c r="G205" s="29" t="str">
        <f t="shared" si="6"/>
        <v/>
      </c>
      <c r="H205" s="29" t="str">
        <f t="shared" si="7"/>
        <v/>
      </c>
    </row>
    <row r="206" spans="7:8" x14ac:dyDescent="0.3">
      <c r="G206" s="29" t="str">
        <f t="shared" si="6"/>
        <v/>
      </c>
      <c r="H206" s="29" t="str">
        <f t="shared" si="7"/>
        <v/>
      </c>
    </row>
    <row r="207" spans="7:8" x14ac:dyDescent="0.3">
      <c r="G207" s="29" t="str">
        <f t="shared" si="6"/>
        <v/>
      </c>
      <c r="H207" s="29" t="str">
        <f t="shared" si="7"/>
        <v/>
      </c>
    </row>
    <row r="208" spans="7:8" x14ac:dyDescent="0.3">
      <c r="G208" s="29" t="str">
        <f t="shared" si="6"/>
        <v/>
      </c>
      <c r="H208" s="29" t="str">
        <f t="shared" si="7"/>
        <v/>
      </c>
    </row>
    <row r="209" spans="7:8" x14ac:dyDescent="0.3">
      <c r="G209" s="29" t="str">
        <f t="shared" si="6"/>
        <v/>
      </c>
      <c r="H209" s="29" t="str">
        <f t="shared" si="7"/>
        <v/>
      </c>
    </row>
    <row r="210" spans="7:8" x14ac:dyDescent="0.3">
      <c r="G210" s="29" t="str">
        <f t="shared" si="6"/>
        <v/>
      </c>
      <c r="H210" s="29" t="str">
        <f t="shared" si="7"/>
        <v/>
      </c>
    </row>
    <row r="211" spans="7:8" x14ac:dyDescent="0.3">
      <c r="G211" s="29" t="str">
        <f t="shared" si="6"/>
        <v/>
      </c>
      <c r="H211" s="29" t="str">
        <f t="shared" si="7"/>
        <v/>
      </c>
    </row>
    <row r="212" spans="7:8" x14ac:dyDescent="0.3">
      <c r="G212" s="29" t="str">
        <f t="shared" si="6"/>
        <v/>
      </c>
      <c r="H212" s="29" t="str">
        <f t="shared" si="7"/>
        <v/>
      </c>
    </row>
    <row r="213" spans="7:8" x14ac:dyDescent="0.3">
      <c r="G213" s="29" t="str">
        <f t="shared" si="6"/>
        <v/>
      </c>
      <c r="H213" s="29" t="str">
        <f t="shared" si="7"/>
        <v/>
      </c>
    </row>
    <row r="214" spans="7:8" x14ac:dyDescent="0.3">
      <c r="G214" s="29" t="str">
        <f t="shared" si="6"/>
        <v/>
      </c>
      <c r="H214" s="29" t="str">
        <f t="shared" si="7"/>
        <v/>
      </c>
    </row>
    <row r="215" spans="7:8" x14ac:dyDescent="0.3">
      <c r="G215" s="29" t="str">
        <f t="shared" si="6"/>
        <v/>
      </c>
      <c r="H215" s="29" t="str">
        <f t="shared" si="7"/>
        <v/>
      </c>
    </row>
    <row r="216" spans="7:8" x14ac:dyDescent="0.3">
      <c r="G216" s="29" t="str">
        <f t="shared" si="6"/>
        <v/>
      </c>
      <c r="H216" s="29" t="str">
        <f t="shared" si="7"/>
        <v/>
      </c>
    </row>
    <row r="217" spans="7:8" x14ac:dyDescent="0.3">
      <c r="G217" s="29" t="str">
        <f t="shared" si="6"/>
        <v/>
      </c>
      <c r="H217" s="29" t="str">
        <f t="shared" si="7"/>
        <v/>
      </c>
    </row>
    <row r="218" spans="7:8" x14ac:dyDescent="0.3">
      <c r="G218" s="29" t="str">
        <f t="shared" si="6"/>
        <v/>
      </c>
      <c r="H218" s="29" t="str">
        <f t="shared" si="7"/>
        <v/>
      </c>
    </row>
    <row r="219" spans="7:8" x14ac:dyDescent="0.3">
      <c r="G219" s="29" t="str">
        <f t="shared" si="6"/>
        <v/>
      </c>
      <c r="H219" s="29" t="str">
        <f t="shared" si="7"/>
        <v/>
      </c>
    </row>
    <row r="220" spans="7:8" x14ac:dyDescent="0.3">
      <c r="G220" s="29" t="str">
        <f t="shared" si="6"/>
        <v/>
      </c>
      <c r="H220" s="29" t="str">
        <f t="shared" si="7"/>
        <v/>
      </c>
    </row>
    <row r="221" spans="7:8" x14ac:dyDescent="0.3">
      <c r="G221" s="29" t="str">
        <f t="shared" si="6"/>
        <v/>
      </c>
      <c r="H221" s="29" t="str">
        <f t="shared" si="7"/>
        <v/>
      </c>
    </row>
    <row r="222" spans="7:8" x14ac:dyDescent="0.3">
      <c r="G222" s="29" t="str">
        <f t="shared" si="6"/>
        <v/>
      </c>
      <c r="H222" s="29" t="str">
        <f t="shared" si="7"/>
        <v/>
      </c>
    </row>
    <row r="223" spans="7:8" x14ac:dyDescent="0.3">
      <c r="G223" s="29" t="str">
        <f t="shared" si="6"/>
        <v/>
      </c>
      <c r="H223" s="29" t="str">
        <f t="shared" si="7"/>
        <v/>
      </c>
    </row>
    <row r="224" spans="7:8" x14ac:dyDescent="0.3">
      <c r="G224" s="29" t="str">
        <f t="shared" si="6"/>
        <v/>
      </c>
      <c r="H224" s="29" t="str">
        <f t="shared" si="7"/>
        <v/>
      </c>
    </row>
    <row r="225" spans="7:8" x14ac:dyDescent="0.3">
      <c r="G225" s="29" t="str">
        <f t="shared" si="6"/>
        <v/>
      </c>
      <c r="H225" s="29" t="str">
        <f t="shared" si="7"/>
        <v/>
      </c>
    </row>
    <row r="226" spans="7:8" x14ac:dyDescent="0.3">
      <c r="G226" s="29" t="str">
        <f t="shared" si="6"/>
        <v/>
      </c>
      <c r="H226" s="29" t="str">
        <f t="shared" si="7"/>
        <v/>
      </c>
    </row>
    <row r="227" spans="7:8" x14ac:dyDescent="0.3">
      <c r="G227" s="29" t="str">
        <f t="shared" si="6"/>
        <v/>
      </c>
      <c r="H227" s="29" t="str">
        <f t="shared" si="7"/>
        <v/>
      </c>
    </row>
    <row r="228" spans="7:8" x14ac:dyDescent="0.3">
      <c r="G228" s="29" t="str">
        <f t="shared" si="6"/>
        <v/>
      </c>
      <c r="H228" s="29" t="str">
        <f t="shared" si="7"/>
        <v/>
      </c>
    </row>
    <row r="229" spans="7:8" x14ac:dyDescent="0.3">
      <c r="G229" s="29" t="str">
        <f t="shared" si="6"/>
        <v/>
      </c>
      <c r="H229" s="29" t="str">
        <f t="shared" si="7"/>
        <v/>
      </c>
    </row>
    <row r="230" spans="7:8" x14ac:dyDescent="0.3">
      <c r="G230" s="29" t="str">
        <f t="shared" si="6"/>
        <v/>
      </c>
      <c r="H230" s="29" t="str">
        <f t="shared" si="7"/>
        <v/>
      </c>
    </row>
    <row r="231" spans="7:8" x14ac:dyDescent="0.3">
      <c r="G231" s="29" t="str">
        <f t="shared" si="6"/>
        <v/>
      </c>
      <c r="H231" s="29" t="str">
        <f t="shared" si="7"/>
        <v/>
      </c>
    </row>
    <row r="232" spans="7:8" x14ac:dyDescent="0.3">
      <c r="G232" s="29" t="str">
        <f t="shared" si="6"/>
        <v/>
      </c>
      <c r="H232" s="29" t="str">
        <f t="shared" si="7"/>
        <v/>
      </c>
    </row>
    <row r="233" spans="7:8" x14ac:dyDescent="0.3">
      <c r="G233" s="29" t="str">
        <f t="shared" si="6"/>
        <v/>
      </c>
      <c r="H233" s="29" t="str">
        <f t="shared" si="7"/>
        <v/>
      </c>
    </row>
    <row r="234" spans="7:8" x14ac:dyDescent="0.3">
      <c r="G234" s="29" t="str">
        <f t="shared" si="6"/>
        <v/>
      </c>
      <c r="H234" s="29" t="str">
        <f t="shared" si="7"/>
        <v/>
      </c>
    </row>
    <row r="235" spans="7:8" x14ac:dyDescent="0.3">
      <c r="G235" s="29" t="str">
        <f t="shared" si="6"/>
        <v/>
      </c>
      <c r="H235" s="29" t="str">
        <f t="shared" si="7"/>
        <v/>
      </c>
    </row>
    <row r="236" spans="7:8" x14ac:dyDescent="0.3">
      <c r="G236" s="29" t="str">
        <f t="shared" si="6"/>
        <v/>
      </c>
      <c r="H236" s="29" t="str">
        <f t="shared" si="7"/>
        <v/>
      </c>
    </row>
    <row r="237" spans="7:8" x14ac:dyDescent="0.3">
      <c r="G237" s="29" t="str">
        <f t="shared" si="6"/>
        <v/>
      </c>
      <c r="H237" s="29" t="str">
        <f t="shared" si="7"/>
        <v/>
      </c>
    </row>
    <row r="238" spans="7:8" x14ac:dyDescent="0.3">
      <c r="G238" s="29" t="str">
        <f t="shared" si="6"/>
        <v/>
      </c>
      <c r="H238" s="29" t="str">
        <f t="shared" si="7"/>
        <v/>
      </c>
    </row>
    <row r="239" spans="7:8" x14ac:dyDescent="0.3">
      <c r="G239" s="29" t="str">
        <f t="shared" si="6"/>
        <v/>
      </c>
      <c r="H239" s="29" t="str">
        <f t="shared" si="7"/>
        <v/>
      </c>
    </row>
    <row r="240" spans="7:8" x14ac:dyDescent="0.3">
      <c r="G240" s="29" t="str">
        <f t="shared" si="6"/>
        <v/>
      </c>
      <c r="H240" s="29" t="str">
        <f t="shared" si="7"/>
        <v/>
      </c>
    </row>
    <row r="241" spans="7:8" x14ac:dyDescent="0.3">
      <c r="G241" s="29" t="str">
        <f t="shared" si="6"/>
        <v/>
      </c>
      <c r="H241" s="29" t="str">
        <f t="shared" si="7"/>
        <v/>
      </c>
    </row>
    <row r="242" spans="7:8" x14ac:dyDescent="0.3">
      <c r="G242" s="29" t="str">
        <f t="shared" si="6"/>
        <v/>
      </c>
      <c r="H242" s="29" t="str">
        <f t="shared" si="7"/>
        <v/>
      </c>
    </row>
    <row r="243" spans="7:8" x14ac:dyDescent="0.3">
      <c r="G243" s="29" t="str">
        <f t="shared" si="6"/>
        <v/>
      </c>
      <c r="H243" s="29" t="str">
        <f t="shared" si="7"/>
        <v/>
      </c>
    </row>
    <row r="244" spans="7:8" x14ac:dyDescent="0.3">
      <c r="G244" s="29" t="str">
        <f t="shared" si="6"/>
        <v/>
      </c>
      <c r="H244" s="29" t="str">
        <f t="shared" si="7"/>
        <v/>
      </c>
    </row>
    <row r="245" spans="7:8" x14ac:dyDescent="0.3">
      <c r="G245" s="29" t="str">
        <f t="shared" si="6"/>
        <v/>
      </c>
      <c r="H245" s="29" t="str">
        <f t="shared" si="7"/>
        <v/>
      </c>
    </row>
    <row r="246" spans="7:8" x14ac:dyDescent="0.3">
      <c r="G246" s="29" t="str">
        <f t="shared" si="6"/>
        <v/>
      </c>
      <c r="H246" s="29" t="str">
        <f t="shared" si="7"/>
        <v/>
      </c>
    </row>
    <row r="247" spans="7:8" x14ac:dyDescent="0.3">
      <c r="G247" s="29" t="str">
        <f t="shared" si="6"/>
        <v/>
      </c>
      <c r="H247" s="29" t="str">
        <f t="shared" si="7"/>
        <v/>
      </c>
    </row>
    <row r="248" spans="7:8" x14ac:dyDescent="0.3">
      <c r="G248" s="29" t="str">
        <f t="shared" si="6"/>
        <v/>
      </c>
      <c r="H248" s="29" t="str">
        <f t="shared" si="7"/>
        <v/>
      </c>
    </row>
    <row r="249" spans="7:8" x14ac:dyDescent="0.3">
      <c r="G249" s="29" t="str">
        <f t="shared" si="6"/>
        <v/>
      </c>
      <c r="H249" s="29" t="str">
        <f t="shared" si="7"/>
        <v/>
      </c>
    </row>
    <row r="250" spans="7:8" x14ac:dyDescent="0.3">
      <c r="G250" s="29" t="str">
        <f t="shared" si="6"/>
        <v/>
      </c>
      <c r="H250" s="29" t="str">
        <f t="shared" si="7"/>
        <v/>
      </c>
    </row>
    <row r="251" spans="7:8" x14ac:dyDescent="0.3">
      <c r="G251" s="29" t="str">
        <f t="shared" si="6"/>
        <v/>
      </c>
      <c r="H251" s="29" t="str">
        <f t="shared" si="7"/>
        <v/>
      </c>
    </row>
    <row r="252" spans="7:8" x14ac:dyDescent="0.3">
      <c r="G252" s="29" t="str">
        <f t="shared" si="6"/>
        <v/>
      </c>
      <c r="H252" s="29" t="str">
        <f t="shared" si="7"/>
        <v/>
      </c>
    </row>
    <row r="253" spans="7:8" x14ac:dyDescent="0.3">
      <c r="G253" s="29" t="str">
        <f t="shared" si="6"/>
        <v/>
      </c>
      <c r="H253" s="29" t="str">
        <f t="shared" si="7"/>
        <v/>
      </c>
    </row>
    <row r="254" spans="7:8" x14ac:dyDescent="0.3">
      <c r="G254" s="29" t="str">
        <f t="shared" si="6"/>
        <v/>
      </c>
      <c r="H254" s="29" t="str">
        <f t="shared" si="7"/>
        <v/>
      </c>
    </row>
    <row r="255" spans="7:8" x14ac:dyDescent="0.3">
      <c r="G255" s="29" t="str">
        <f t="shared" si="6"/>
        <v/>
      </c>
      <c r="H255" s="29" t="str">
        <f t="shared" si="7"/>
        <v/>
      </c>
    </row>
    <row r="256" spans="7:8" x14ac:dyDescent="0.3">
      <c r="G256" s="29" t="str">
        <f t="shared" si="6"/>
        <v/>
      </c>
      <c r="H256" s="29" t="str">
        <f t="shared" si="7"/>
        <v/>
      </c>
    </row>
    <row r="257" spans="7:8" x14ac:dyDescent="0.3">
      <c r="G257" s="29" t="str">
        <f t="shared" si="6"/>
        <v/>
      </c>
      <c r="H257" s="29" t="str">
        <f t="shared" si="7"/>
        <v/>
      </c>
    </row>
    <row r="258" spans="7:8" x14ac:dyDescent="0.3">
      <c r="G258" s="29" t="str">
        <f t="shared" si="6"/>
        <v/>
      </c>
      <c r="H258" s="29" t="str">
        <f t="shared" si="7"/>
        <v/>
      </c>
    </row>
    <row r="259" spans="7:8" x14ac:dyDescent="0.3">
      <c r="G259" s="29" t="str">
        <f t="shared" ref="G259:G322" si="8">IF(C259&lt;&gt;"", 0.7426*(2+(PI()^2/3-2)/(1+(2*PI()*(EXP(ABS(C259)/86.17333262-2)-1.075*EXP(-2)))^(3/2))^(2/3)),"")</f>
        <v/>
      </c>
      <c r="H259" s="29" t="str">
        <f t="shared" ref="H259:H322" si="9">IF(AND(A259&lt;&gt;"",B259&lt;&gt;"",G259&lt;&gt;""),A259*B259*G259*0.000001,"")</f>
        <v/>
      </c>
    </row>
    <row r="260" spans="7:8" x14ac:dyDescent="0.3">
      <c r="G260" s="29" t="str">
        <f t="shared" si="8"/>
        <v/>
      </c>
      <c r="H260" s="29" t="str">
        <f t="shared" si="9"/>
        <v/>
      </c>
    </row>
    <row r="261" spans="7:8" x14ac:dyDescent="0.3">
      <c r="G261" s="29" t="str">
        <f t="shared" si="8"/>
        <v/>
      </c>
      <c r="H261" s="29" t="str">
        <f t="shared" si="9"/>
        <v/>
      </c>
    </row>
    <row r="262" spans="7:8" x14ac:dyDescent="0.3">
      <c r="G262" s="29" t="str">
        <f t="shared" si="8"/>
        <v/>
      </c>
      <c r="H262" s="29" t="str">
        <f t="shared" si="9"/>
        <v/>
      </c>
    </row>
    <row r="263" spans="7:8" x14ac:dyDescent="0.3">
      <c r="G263" s="29" t="str">
        <f t="shared" si="8"/>
        <v/>
      </c>
      <c r="H263" s="29" t="str">
        <f t="shared" si="9"/>
        <v/>
      </c>
    </row>
    <row r="264" spans="7:8" x14ac:dyDescent="0.3">
      <c r="G264" s="29" t="str">
        <f t="shared" si="8"/>
        <v/>
      </c>
      <c r="H264" s="29" t="str">
        <f t="shared" si="9"/>
        <v/>
      </c>
    </row>
    <row r="265" spans="7:8" x14ac:dyDescent="0.3">
      <c r="G265" s="29" t="str">
        <f t="shared" si="8"/>
        <v/>
      </c>
      <c r="H265" s="29" t="str">
        <f t="shared" si="9"/>
        <v/>
      </c>
    </row>
    <row r="266" spans="7:8" x14ac:dyDescent="0.3">
      <c r="G266" s="29" t="str">
        <f t="shared" si="8"/>
        <v/>
      </c>
      <c r="H266" s="29" t="str">
        <f t="shared" si="9"/>
        <v/>
      </c>
    </row>
    <row r="267" spans="7:8" x14ac:dyDescent="0.3">
      <c r="G267" s="29" t="str">
        <f t="shared" si="8"/>
        <v/>
      </c>
      <c r="H267" s="29" t="str">
        <f t="shared" si="9"/>
        <v/>
      </c>
    </row>
    <row r="268" spans="7:8" x14ac:dyDescent="0.3">
      <c r="G268" s="29" t="str">
        <f t="shared" si="8"/>
        <v/>
      </c>
      <c r="H268" s="29" t="str">
        <f t="shared" si="9"/>
        <v/>
      </c>
    </row>
    <row r="269" spans="7:8" x14ac:dyDescent="0.3">
      <c r="G269" s="29" t="str">
        <f t="shared" si="8"/>
        <v/>
      </c>
      <c r="H269" s="29" t="str">
        <f t="shared" si="9"/>
        <v/>
      </c>
    </row>
    <row r="270" spans="7:8" x14ac:dyDescent="0.3">
      <c r="G270" s="29" t="str">
        <f t="shared" si="8"/>
        <v/>
      </c>
      <c r="H270" s="29" t="str">
        <f t="shared" si="9"/>
        <v/>
      </c>
    </row>
    <row r="271" spans="7:8" x14ac:dyDescent="0.3">
      <c r="G271" s="29" t="str">
        <f t="shared" si="8"/>
        <v/>
      </c>
      <c r="H271" s="29" t="str">
        <f t="shared" si="9"/>
        <v/>
      </c>
    </row>
    <row r="272" spans="7:8" x14ac:dyDescent="0.3">
      <c r="G272" s="29" t="str">
        <f t="shared" si="8"/>
        <v/>
      </c>
      <c r="H272" s="29" t="str">
        <f t="shared" si="9"/>
        <v/>
      </c>
    </row>
    <row r="273" spans="7:8" x14ac:dyDescent="0.3">
      <c r="G273" s="29" t="str">
        <f t="shared" si="8"/>
        <v/>
      </c>
      <c r="H273" s="29" t="str">
        <f t="shared" si="9"/>
        <v/>
      </c>
    </row>
    <row r="274" spans="7:8" x14ac:dyDescent="0.3">
      <c r="G274" s="29" t="str">
        <f t="shared" si="8"/>
        <v/>
      </c>
      <c r="H274" s="29" t="str">
        <f t="shared" si="9"/>
        <v/>
      </c>
    </row>
    <row r="275" spans="7:8" x14ac:dyDescent="0.3">
      <c r="G275" s="29" t="str">
        <f t="shared" si="8"/>
        <v/>
      </c>
      <c r="H275" s="29" t="str">
        <f t="shared" si="9"/>
        <v/>
      </c>
    </row>
    <row r="276" spans="7:8" x14ac:dyDescent="0.3">
      <c r="G276" s="29" t="str">
        <f t="shared" si="8"/>
        <v/>
      </c>
      <c r="H276" s="29" t="str">
        <f t="shared" si="9"/>
        <v/>
      </c>
    </row>
    <row r="277" spans="7:8" x14ac:dyDescent="0.3">
      <c r="G277" s="29" t="str">
        <f t="shared" si="8"/>
        <v/>
      </c>
      <c r="H277" s="29" t="str">
        <f t="shared" si="9"/>
        <v/>
      </c>
    </row>
    <row r="278" spans="7:8" x14ac:dyDescent="0.3">
      <c r="G278" s="29" t="str">
        <f t="shared" si="8"/>
        <v/>
      </c>
      <c r="H278" s="29" t="str">
        <f t="shared" si="9"/>
        <v/>
      </c>
    </row>
    <row r="279" spans="7:8" x14ac:dyDescent="0.3">
      <c r="G279" s="29" t="str">
        <f t="shared" si="8"/>
        <v/>
      </c>
      <c r="H279" s="29" t="str">
        <f t="shared" si="9"/>
        <v/>
      </c>
    </row>
    <row r="280" spans="7:8" x14ac:dyDescent="0.3">
      <c r="G280" s="29" t="str">
        <f t="shared" si="8"/>
        <v/>
      </c>
      <c r="H280" s="29" t="str">
        <f t="shared" si="9"/>
        <v/>
      </c>
    </row>
    <row r="281" spans="7:8" x14ac:dyDescent="0.3">
      <c r="G281" s="29" t="str">
        <f t="shared" si="8"/>
        <v/>
      </c>
      <c r="H281" s="29" t="str">
        <f t="shared" si="9"/>
        <v/>
      </c>
    </row>
    <row r="282" spans="7:8" x14ac:dyDescent="0.3">
      <c r="G282" s="29" t="str">
        <f t="shared" si="8"/>
        <v/>
      </c>
      <c r="H282" s="29" t="str">
        <f t="shared" si="9"/>
        <v/>
      </c>
    </row>
    <row r="283" spans="7:8" x14ac:dyDescent="0.3">
      <c r="G283" s="29" t="str">
        <f t="shared" si="8"/>
        <v/>
      </c>
      <c r="H283" s="29" t="str">
        <f t="shared" si="9"/>
        <v/>
      </c>
    </row>
    <row r="284" spans="7:8" x14ac:dyDescent="0.3">
      <c r="G284" s="29" t="str">
        <f t="shared" si="8"/>
        <v/>
      </c>
      <c r="H284" s="29" t="str">
        <f t="shared" si="9"/>
        <v/>
      </c>
    </row>
    <row r="285" spans="7:8" x14ac:dyDescent="0.3">
      <c r="G285" s="29" t="str">
        <f t="shared" si="8"/>
        <v/>
      </c>
      <c r="H285" s="29" t="str">
        <f t="shared" si="9"/>
        <v/>
      </c>
    </row>
    <row r="286" spans="7:8" x14ac:dyDescent="0.3">
      <c r="G286" s="29" t="str">
        <f t="shared" si="8"/>
        <v/>
      </c>
      <c r="H286" s="29" t="str">
        <f t="shared" si="9"/>
        <v/>
      </c>
    </row>
    <row r="287" spans="7:8" x14ac:dyDescent="0.3">
      <c r="G287" s="29" t="str">
        <f t="shared" si="8"/>
        <v/>
      </c>
      <c r="H287" s="29" t="str">
        <f t="shared" si="9"/>
        <v/>
      </c>
    </row>
    <row r="288" spans="7:8" x14ac:dyDescent="0.3">
      <c r="G288" s="29" t="str">
        <f t="shared" si="8"/>
        <v/>
      </c>
      <c r="H288" s="29" t="str">
        <f t="shared" si="9"/>
        <v/>
      </c>
    </row>
    <row r="289" spans="7:8" x14ac:dyDescent="0.3">
      <c r="G289" s="29" t="str">
        <f t="shared" si="8"/>
        <v/>
      </c>
      <c r="H289" s="29" t="str">
        <f t="shared" si="9"/>
        <v/>
      </c>
    </row>
    <row r="290" spans="7:8" x14ac:dyDescent="0.3">
      <c r="G290" s="29" t="str">
        <f t="shared" si="8"/>
        <v/>
      </c>
      <c r="H290" s="29" t="str">
        <f t="shared" si="9"/>
        <v/>
      </c>
    </row>
    <row r="291" spans="7:8" x14ac:dyDescent="0.3">
      <c r="G291" s="29" t="str">
        <f t="shared" si="8"/>
        <v/>
      </c>
      <c r="H291" s="29" t="str">
        <f t="shared" si="9"/>
        <v/>
      </c>
    </row>
    <row r="292" spans="7:8" x14ac:dyDescent="0.3">
      <c r="G292" s="29" t="str">
        <f t="shared" si="8"/>
        <v/>
      </c>
      <c r="H292" s="29" t="str">
        <f t="shared" si="9"/>
        <v/>
      </c>
    </row>
    <row r="293" spans="7:8" x14ac:dyDescent="0.3">
      <c r="G293" s="29" t="str">
        <f t="shared" si="8"/>
        <v/>
      </c>
      <c r="H293" s="29" t="str">
        <f t="shared" si="9"/>
        <v/>
      </c>
    </row>
    <row r="294" spans="7:8" x14ac:dyDescent="0.3">
      <c r="G294" s="29" t="str">
        <f t="shared" si="8"/>
        <v/>
      </c>
      <c r="H294" s="29" t="str">
        <f t="shared" si="9"/>
        <v/>
      </c>
    </row>
    <row r="295" spans="7:8" x14ac:dyDescent="0.3">
      <c r="G295" s="29" t="str">
        <f t="shared" si="8"/>
        <v/>
      </c>
      <c r="H295" s="29" t="str">
        <f t="shared" si="9"/>
        <v/>
      </c>
    </row>
    <row r="296" spans="7:8" x14ac:dyDescent="0.3">
      <c r="G296" s="29" t="str">
        <f t="shared" si="8"/>
        <v/>
      </c>
      <c r="H296" s="29" t="str">
        <f t="shared" si="9"/>
        <v/>
      </c>
    </row>
    <row r="297" spans="7:8" x14ac:dyDescent="0.3">
      <c r="G297" s="29" t="str">
        <f t="shared" si="8"/>
        <v/>
      </c>
      <c r="H297" s="29" t="str">
        <f t="shared" si="9"/>
        <v/>
      </c>
    </row>
    <row r="298" spans="7:8" x14ac:dyDescent="0.3">
      <c r="G298" s="29" t="str">
        <f t="shared" si="8"/>
        <v/>
      </c>
      <c r="H298" s="29" t="str">
        <f t="shared" si="9"/>
        <v/>
      </c>
    </row>
    <row r="299" spans="7:8" x14ac:dyDescent="0.3">
      <c r="G299" s="29" t="str">
        <f t="shared" si="8"/>
        <v/>
      </c>
      <c r="H299" s="29" t="str">
        <f t="shared" si="9"/>
        <v/>
      </c>
    </row>
    <row r="300" spans="7:8" x14ac:dyDescent="0.3">
      <c r="G300" s="29" t="str">
        <f t="shared" si="8"/>
        <v/>
      </c>
      <c r="H300" s="29" t="str">
        <f t="shared" si="9"/>
        <v/>
      </c>
    </row>
    <row r="301" spans="7:8" x14ac:dyDescent="0.3">
      <c r="G301" s="29" t="str">
        <f t="shared" si="8"/>
        <v/>
      </c>
      <c r="H301" s="29" t="str">
        <f t="shared" si="9"/>
        <v/>
      </c>
    </row>
    <row r="302" spans="7:8" x14ac:dyDescent="0.3">
      <c r="G302" s="29" t="str">
        <f t="shared" si="8"/>
        <v/>
      </c>
      <c r="H302" s="29" t="str">
        <f t="shared" si="9"/>
        <v/>
      </c>
    </row>
    <row r="303" spans="7:8" x14ac:dyDescent="0.3">
      <c r="G303" s="29" t="str">
        <f t="shared" si="8"/>
        <v/>
      </c>
      <c r="H303" s="29" t="str">
        <f t="shared" si="9"/>
        <v/>
      </c>
    </row>
    <row r="304" spans="7:8" x14ac:dyDescent="0.3">
      <c r="G304" s="29" t="str">
        <f t="shared" si="8"/>
        <v/>
      </c>
      <c r="H304" s="29" t="str">
        <f t="shared" si="9"/>
        <v/>
      </c>
    </row>
    <row r="305" spans="7:8" x14ac:dyDescent="0.3">
      <c r="G305" s="29" t="str">
        <f t="shared" si="8"/>
        <v/>
      </c>
      <c r="H305" s="29" t="str">
        <f t="shared" si="9"/>
        <v/>
      </c>
    </row>
    <row r="306" spans="7:8" x14ac:dyDescent="0.3">
      <c r="G306" s="29" t="str">
        <f t="shared" si="8"/>
        <v/>
      </c>
      <c r="H306" s="29" t="str">
        <f t="shared" si="9"/>
        <v/>
      </c>
    </row>
    <row r="307" spans="7:8" x14ac:dyDescent="0.3">
      <c r="G307" s="29" t="str">
        <f t="shared" si="8"/>
        <v/>
      </c>
      <c r="H307" s="29" t="str">
        <f t="shared" si="9"/>
        <v/>
      </c>
    </row>
    <row r="308" spans="7:8" x14ac:dyDescent="0.3">
      <c r="G308" s="29" t="str">
        <f t="shared" si="8"/>
        <v/>
      </c>
      <c r="H308" s="29" t="str">
        <f t="shared" si="9"/>
        <v/>
      </c>
    </row>
    <row r="309" spans="7:8" x14ac:dyDescent="0.3">
      <c r="G309" s="29" t="str">
        <f t="shared" si="8"/>
        <v/>
      </c>
      <c r="H309" s="29" t="str">
        <f t="shared" si="9"/>
        <v/>
      </c>
    </row>
    <row r="310" spans="7:8" x14ac:dyDescent="0.3">
      <c r="G310" s="29" t="str">
        <f t="shared" si="8"/>
        <v/>
      </c>
      <c r="H310" s="29" t="str">
        <f t="shared" si="9"/>
        <v/>
      </c>
    </row>
    <row r="311" spans="7:8" x14ac:dyDescent="0.3">
      <c r="G311" s="29" t="str">
        <f t="shared" si="8"/>
        <v/>
      </c>
      <c r="H311" s="29" t="str">
        <f t="shared" si="9"/>
        <v/>
      </c>
    </row>
    <row r="312" spans="7:8" x14ac:dyDescent="0.3">
      <c r="G312" s="29" t="str">
        <f t="shared" si="8"/>
        <v/>
      </c>
      <c r="H312" s="29" t="str">
        <f t="shared" si="9"/>
        <v/>
      </c>
    </row>
    <row r="313" spans="7:8" x14ac:dyDescent="0.3">
      <c r="G313" s="29" t="str">
        <f t="shared" si="8"/>
        <v/>
      </c>
      <c r="H313" s="29" t="str">
        <f t="shared" si="9"/>
        <v/>
      </c>
    </row>
    <row r="314" spans="7:8" x14ac:dyDescent="0.3">
      <c r="G314" s="29" t="str">
        <f t="shared" si="8"/>
        <v/>
      </c>
      <c r="H314" s="29" t="str">
        <f t="shared" si="9"/>
        <v/>
      </c>
    </row>
    <row r="315" spans="7:8" x14ac:dyDescent="0.3">
      <c r="G315" s="29" t="str">
        <f t="shared" si="8"/>
        <v/>
      </c>
      <c r="H315" s="29" t="str">
        <f t="shared" si="9"/>
        <v/>
      </c>
    </row>
    <row r="316" spans="7:8" x14ac:dyDescent="0.3">
      <c r="G316" s="29" t="str">
        <f t="shared" si="8"/>
        <v/>
      </c>
      <c r="H316" s="29" t="str">
        <f t="shared" si="9"/>
        <v/>
      </c>
    </row>
    <row r="317" spans="7:8" x14ac:dyDescent="0.3">
      <c r="G317" s="29" t="str">
        <f t="shared" si="8"/>
        <v/>
      </c>
      <c r="H317" s="29" t="str">
        <f t="shared" si="9"/>
        <v/>
      </c>
    </row>
    <row r="318" spans="7:8" x14ac:dyDescent="0.3">
      <c r="G318" s="29" t="str">
        <f t="shared" si="8"/>
        <v/>
      </c>
      <c r="H318" s="29" t="str">
        <f t="shared" si="9"/>
        <v/>
      </c>
    </row>
    <row r="319" spans="7:8" x14ac:dyDescent="0.3">
      <c r="G319" s="29" t="str">
        <f t="shared" si="8"/>
        <v/>
      </c>
      <c r="H319" s="29" t="str">
        <f t="shared" si="9"/>
        <v/>
      </c>
    </row>
    <row r="320" spans="7:8" x14ac:dyDescent="0.3">
      <c r="G320" s="29" t="str">
        <f t="shared" si="8"/>
        <v/>
      </c>
      <c r="H320" s="29" t="str">
        <f t="shared" si="9"/>
        <v/>
      </c>
    </row>
    <row r="321" spans="7:8" x14ac:dyDescent="0.3">
      <c r="G321" s="29" t="str">
        <f t="shared" si="8"/>
        <v/>
      </c>
      <c r="H321" s="29" t="str">
        <f t="shared" si="9"/>
        <v/>
      </c>
    </row>
    <row r="322" spans="7:8" x14ac:dyDescent="0.3">
      <c r="G322" s="29" t="str">
        <f t="shared" si="8"/>
        <v/>
      </c>
      <c r="H322" s="29" t="str">
        <f t="shared" si="9"/>
        <v/>
      </c>
    </row>
    <row r="323" spans="7:8" x14ac:dyDescent="0.3">
      <c r="G323" s="29" t="str">
        <f t="shared" ref="G323:G386" si="10">IF(C323&lt;&gt;"", 0.7426*(2+(PI()^2/3-2)/(1+(2*PI()*(EXP(ABS(C323)/86.17333262-2)-1.075*EXP(-2)))^(3/2))^(2/3)),"")</f>
        <v/>
      </c>
      <c r="H323" s="29" t="str">
        <f t="shared" ref="H323:H386" si="11">IF(AND(A323&lt;&gt;"",B323&lt;&gt;"",G323&lt;&gt;""),A323*B323*G323*0.000001,"")</f>
        <v/>
      </c>
    </row>
    <row r="324" spans="7:8" x14ac:dyDescent="0.3">
      <c r="G324" s="29" t="str">
        <f t="shared" si="10"/>
        <v/>
      </c>
      <c r="H324" s="29" t="str">
        <f t="shared" si="11"/>
        <v/>
      </c>
    </row>
    <row r="325" spans="7:8" x14ac:dyDescent="0.3">
      <c r="G325" s="29" t="str">
        <f t="shared" si="10"/>
        <v/>
      </c>
      <c r="H325" s="29" t="str">
        <f t="shared" si="11"/>
        <v/>
      </c>
    </row>
    <row r="326" spans="7:8" x14ac:dyDescent="0.3">
      <c r="G326" s="29" t="str">
        <f t="shared" si="10"/>
        <v/>
      </c>
      <c r="H326" s="29" t="str">
        <f t="shared" si="11"/>
        <v/>
      </c>
    </row>
    <row r="327" spans="7:8" x14ac:dyDescent="0.3">
      <c r="G327" s="29" t="str">
        <f t="shared" si="10"/>
        <v/>
      </c>
      <c r="H327" s="29" t="str">
        <f t="shared" si="11"/>
        <v/>
      </c>
    </row>
    <row r="328" spans="7:8" x14ac:dyDescent="0.3">
      <c r="G328" s="29" t="str">
        <f t="shared" si="10"/>
        <v/>
      </c>
      <c r="H328" s="29" t="str">
        <f t="shared" si="11"/>
        <v/>
      </c>
    </row>
    <row r="329" spans="7:8" x14ac:dyDescent="0.3">
      <c r="G329" s="29" t="str">
        <f t="shared" si="10"/>
        <v/>
      </c>
      <c r="H329" s="29" t="str">
        <f t="shared" si="11"/>
        <v/>
      </c>
    </row>
    <row r="330" spans="7:8" x14ac:dyDescent="0.3">
      <c r="G330" s="29" t="str">
        <f t="shared" si="10"/>
        <v/>
      </c>
      <c r="H330" s="29" t="str">
        <f t="shared" si="11"/>
        <v/>
      </c>
    </row>
    <row r="331" spans="7:8" x14ac:dyDescent="0.3">
      <c r="G331" s="29" t="str">
        <f t="shared" si="10"/>
        <v/>
      </c>
      <c r="H331" s="29" t="str">
        <f t="shared" si="11"/>
        <v/>
      </c>
    </row>
    <row r="332" spans="7:8" x14ac:dyDescent="0.3">
      <c r="G332" s="29" t="str">
        <f t="shared" si="10"/>
        <v/>
      </c>
      <c r="H332" s="29" t="str">
        <f t="shared" si="11"/>
        <v/>
      </c>
    </row>
    <row r="333" spans="7:8" x14ac:dyDescent="0.3">
      <c r="G333" s="29" t="str">
        <f t="shared" si="10"/>
        <v/>
      </c>
      <c r="H333" s="29" t="str">
        <f t="shared" si="11"/>
        <v/>
      </c>
    </row>
    <row r="334" spans="7:8" x14ac:dyDescent="0.3">
      <c r="G334" s="29" t="str">
        <f t="shared" si="10"/>
        <v/>
      </c>
      <c r="H334" s="29" t="str">
        <f t="shared" si="11"/>
        <v/>
      </c>
    </row>
    <row r="335" spans="7:8" x14ac:dyDescent="0.3">
      <c r="G335" s="29" t="str">
        <f t="shared" si="10"/>
        <v/>
      </c>
      <c r="H335" s="29" t="str">
        <f t="shared" si="11"/>
        <v/>
      </c>
    </row>
    <row r="336" spans="7:8" x14ac:dyDescent="0.3">
      <c r="G336" s="29" t="str">
        <f t="shared" si="10"/>
        <v/>
      </c>
      <c r="H336" s="29" t="str">
        <f t="shared" si="11"/>
        <v/>
      </c>
    </row>
    <row r="337" spans="7:8" x14ac:dyDescent="0.3">
      <c r="G337" s="29" t="str">
        <f t="shared" si="10"/>
        <v/>
      </c>
      <c r="H337" s="29" t="str">
        <f t="shared" si="11"/>
        <v/>
      </c>
    </row>
    <row r="338" spans="7:8" x14ac:dyDescent="0.3">
      <c r="G338" s="29" t="str">
        <f t="shared" si="10"/>
        <v/>
      </c>
      <c r="H338" s="29" t="str">
        <f t="shared" si="11"/>
        <v/>
      </c>
    </row>
    <row r="339" spans="7:8" x14ac:dyDescent="0.3">
      <c r="G339" s="29" t="str">
        <f t="shared" si="10"/>
        <v/>
      </c>
      <c r="H339" s="29" t="str">
        <f t="shared" si="11"/>
        <v/>
      </c>
    </row>
    <row r="340" spans="7:8" x14ac:dyDescent="0.3">
      <c r="G340" s="29" t="str">
        <f t="shared" si="10"/>
        <v/>
      </c>
      <c r="H340" s="29" t="str">
        <f t="shared" si="11"/>
        <v/>
      </c>
    </row>
    <row r="341" spans="7:8" x14ac:dyDescent="0.3">
      <c r="G341" s="29" t="str">
        <f t="shared" si="10"/>
        <v/>
      </c>
      <c r="H341" s="29" t="str">
        <f t="shared" si="11"/>
        <v/>
      </c>
    </row>
    <row r="342" spans="7:8" x14ac:dyDescent="0.3">
      <c r="G342" s="29" t="str">
        <f t="shared" si="10"/>
        <v/>
      </c>
      <c r="H342" s="29" t="str">
        <f t="shared" si="11"/>
        <v/>
      </c>
    </row>
    <row r="343" spans="7:8" x14ac:dyDescent="0.3">
      <c r="G343" s="29" t="str">
        <f t="shared" si="10"/>
        <v/>
      </c>
      <c r="H343" s="29" t="str">
        <f t="shared" si="11"/>
        <v/>
      </c>
    </row>
    <row r="344" spans="7:8" x14ac:dyDescent="0.3">
      <c r="G344" s="29" t="str">
        <f t="shared" si="10"/>
        <v/>
      </c>
      <c r="H344" s="29" t="str">
        <f t="shared" si="11"/>
        <v/>
      </c>
    </row>
    <row r="345" spans="7:8" x14ac:dyDescent="0.3">
      <c r="G345" s="29" t="str">
        <f t="shared" si="10"/>
        <v/>
      </c>
      <c r="H345" s="29" t="str">
        <f t="shared" si="11"/>
        <v/>
      </c>
    </row>
    <row r="346" spans="7:8" x14ac:dyDescent="0.3">
      <c r="G346" s="29" t="str">
        <f t="shared" si="10"/>
        <v/>
      </c>
      <c r="H346" s="29" t="str">
        <f t="shared" si="11"/>
        <v/>
      </c>
    </row>
    <row r="347" spans="7:8" x14ac:dyDescent="0.3">
      <c r="G347" s="29" t="str">
        <f t="shared" si="10"/>
        <v/>
      </c>
      <c r="H347" s="29" t="str">
        <f t="shared" si="11"/>
        <v/>
      </c>
    </row>
    <row r="348" spans="7:8" x14ac:dyDescent="0.3">
      <c r="G348" s="29" t="str">
        <f t="shared" si="10"/>
        <v/>
      </c>
      <c r="H348" s="29" t="str">
        <f t="shared" si="11"/>
        <v/>
      </c>
    </row>
    <row r="349" spans="7:8" x14ac:dyDescent="0.3">
      <c r="G349" s="29" t="str">
        <f t="shared" si="10"/>
        <v/>
      </c>
      <c r="H349" s="29" t="str">
        <f t="shared" si="11"/>
        <v/>
      </c>
    </row>
    <row r="350" spans="7:8" x14ac:dyDescent="0.3">
      <c r="G350" s="29" t="str">
        <f t="shared" si="10"/>
        <v/>
      </c>
      <c r="H350" s="29" t="str">
        <f t="shared" si="11"/>
        <v/>
      </c>
    </row>
    <row r="351" spans="7:8" x14ac:dyDescent="0.3">
      <c r="G351" s="29" t="str">
        <f t="shared" si="10"/>
        <v/>
      </c>
      <c r="H351" s="29" t="str">
        <f t="shared" si="11"/>
        <v/>
      </c>
    </row>
    <row r="352" spans="7:8" x14ac:dyDescent="0.3">
      <c r="G352" s="29" t="str">
        <f t="shared" si="10"/>
        <v/>
      </c>
      <c r="H352" s="29" t="str">
        <f t="shared" si="11"/>
        <v/>
      </c>
    </row>
    <row r="353" spans="7:8" x14ac:dyDescent="0.3">
      <c r="G353" s="29" t="str">
        <f t="shared" si="10"/>
        <v/>
      </c>
      <c r="H353" s="29" t="str">
        <f t="shared" si="11"/>
        <v/>
      </c>
    </row>
    <row r="354" spans="7:8" x14ac:dyDescent="0.3">
      <c r="G354" s="29" t="str">
        <f t="shared" si="10"/>
        <v/>
      </c>
      <c r="H354" s="29" t="str">
        <f t="shared" si="11"/>
        <v/>
      </c>
    </row>
    <row r="355" spans="7:8" x14ac:dyDescent="0.3">
      <c r="G355" s="29" t="str">
        <f t="shared" si="10"/>
        <v/>
      </c>
      <c r="H355" s="29" t="str">
        <f t="shared" si="11"/>
        <v/>
      </c>
    </row>
    <row r="356" spans="7:8" x14ac:dyDescent="0.3">
      <c r="G356" s="29" t="str">
        <f t="shared" si="10"/>
        <v/>
      </c>
      <c r="H356" s="29" t="str">
        <f t="shared" si="11"/>
        <v/>
      </c>
    </row>
    <row r="357" spans="7:8" x14ac:dyDescent="0.3">
      <c r="G357" s="29" t="str">
        <f t="shared" si="10"/>
        <v/>
      </c>
      <c r="H357" s="29" t="str">
        <f t="shared" si="11"/>
        <v/>
      </c>
    </row>
    <row r="358" spans="7:8" x14ac:dyDescent="0.3">
      <c r="G358" s="29" t="str">
        <f t="shared" si="10"/>
        <v/>
      </c>
      <c r="H358" s="29" t="str">
        <f t="shared" si="11"/>
        <v/>
      </c>
    </row>
    <row r="359" spans="7:8" x14ac:dyDescent="0.3">
      <c r="G359" s="29" t="str">
        <f t="shared" si="10"/>
        <v/>
      </c>
      <c r="H359" s="29" t="str">
        <f t="shared" si="11"/>
        <v/>
      </c>
    </row>
    <row r="360" spans="7:8" x14ac:dyDescent="0.3">
      <c r="G360" s="29" t="str">
        <f t="shared" si="10"/>
        <v/>
      </c>
      <c r="H360" s="29" t="str">
        <f t="shared" si="11"/>
        <v/>
      </c>
    </row>
    <row r="361" spans="7:8" x14ac:dyDescent="0.3">
      <c r="G361" s="29" t="str">
        <f t="shared" si="10"/>
        <v/>
      </c>
      <c r="H361" s="29" t="str">
        <f t="shared" si="11"/>
        <v/>
      </c>
    </row>
    <row r="362" spans="7:8" x14ac:dyDescent="0.3">
      <c r="G362" s="29" t="str">
        <f t="shared" si="10"/>
        <v/>
      </c>
      <c r="H362" s="29" t="str">
        <f t="shared" si="11"/>
        <v/>
      </c>
    </row>
    <row r="363" spans="7:8" x14ac:dyDescent="0.3">
      <c r="G363" s="29" t="str">
        <f t="shared" si="10"/>
        <v/>
      </c>
      <c r="H363" s="29" t="str">
        <f t="shared" si="11"/>
        <v/>
      </c>
    </row>
    <row r="364" spans="7:8" x14ac:dyDescent="0.3">
      <c r="G364" s="29" t="str">
        <f t="shared" si="10"/>
        <v/>
      </c>
      <c r="H364" s="29" t="str">
        <f t="shared" si="11"/>
        <v/>
      </c>
    </row>
    <row r="365" spans="7:8" x14ac:dyDescent="0.3">
      <c r="G365" s="29" t="str">
        <f t="shared" si="10"/>
        <v/>
      </c>
      <c r="H365" s="29" t="str">
        <f t="shared" si="11"/>
        <v/>
      </c>
    </row>
    <row r="366" spans="7:8" x14ac:dyDescent="0.3">
      <c r="G366" s="29" t="str">
        <f t="shared" si="10"/>
        <v/>
      </c>
      <c r="H366" s="29" t="str">
        <f t="shared" si="11"/>
        <v/>
      </c>
    </row>
    <row r="367" spans="7:8" x14ac:dyDescent="0.3">
      <c r="G367" s="29" t="str">
        <f t="shared" si="10"/>
        <v/>
      </c>
      <c r="H367" s="29" t="str">
        <f t="shared" si="11"/>
        <v/>
      </c>
    </row>
    <row r="368" spans="7:8" x14ac:dyDescent="0.3">
      <c r="G368" s="29" t="str">
        <f t="shared" si="10"/>
        <v/>
      </c>
      <c r="H368" s="29" t="str">
        <f t="shared" si="11"/>
        <v/>
      </c>
    </row>
    <row r="369" spans="7:8" x14ac:dyDescent="0.3">
      <c r="G369" s="29" t="str">
        <f t="shared" si="10"/>
        <v/>
      </c>
      <c r="H369" s="29" t="str">
        <f t="shared" si="11"/>
        <v/>
      </c>
    </row>
    <row r="370" spans="7:8" x14ac:dyDescent="0.3">
      <c r="G370" s="29" t="str">
        <f t="shared" si="10"/>
        <v/>
      </c>
      <c r="H370" s="29" t="str">
        <f t="shared" si="11"/>
        <v/>
      </c>
    </row>
    <row r="371" spans="7:8" x14ac:dyDescent="0.3">
      <c r="G371" s="29" t="str">
        <f t="shared" si="10"/>
        <v/>
      </c>
      <c r="H371" s="29" t="str">
        <f t="shared" si="11"/>
        <v/>
      </c>
    </row>
    <row r="372" spans="7:8" x14ac:dyDescent="0.3">
      <c r="G372" s="29" t="str">
        <f t="shared" si="10"/>
        <v/>
      </c>
      <c r="H372" s="29" t="str">
        <f t="shared" si="11"/>
        <v/>
      </c>
    </row>
    <row r="373" spans="7:8" x14ac:dyDescent="0.3">
      <c r="G373" s="29" t="str">
        <f t="shared" si="10"/>
        <v/>
      </c>
      <c r="H373" s="29" t="str">
        <f t="shared" si="11"/>
        <v/>
      </c>
    </row>
    <row r="374" spans="7:8" x14ac:dyDescent="0.3">
      <c r="G374" s="29" t="str">
        <f t="shared" si="10"/>
        <v/>
      </c>
      <c r="H374" s="29" t="str">
        <f t="shared" si="11"/>
        <v/>
      </c>
    </row>
    <row r="375" spans="7:8" x14ac:dyDescent="0.3">
      <c r="G375" s="29" t="str">
        <f t="shared" si="10"/>
        <v/>
      </c>
      <c r="H375" s="29" t="str">
        <f t="shared" si="11"/>
        <v/>
      </c>
    </row>
    <row r="376" spans="7:8" x14ac:dyDescent="0.3">
      <c r="G376" s="29" t="str">
        <f t="shared" si="10"/>
        <v/>
      </c>
      <c r="H376" s="29" t="str">
        <f t="shared" si="11"/>
        <v/>
      </c>
    </row>
    <row r="377" spans="7:8" x14ac:dyDescent="0.3">
      <c r="G377" s="29" t="str">
        <f t="shared" si="10"/>
        <v/>
      </c>
      <c r="H377" s="29" t="str">
        <f t="shared" si="11"/>
        <v/>
      </c>
    </row>
    <row r="378" spans="7:8" x14ac:dyDescent="0.3">
      <c r="G378" s="29" t="str">
        <f t="shared" si="10"/>
        <v/>
      </c>
      <c r="H378" s="29" t="str">
        <f t="shared" si="11"/>
        <v/>
      </c>
    </row>
    <row r="379" spans="7:8" x14ac:dyDescent="0.3">
      <c r="G379" s="29" t="str">
        <f t="shared" si="10"/>
        <v/>
      </c>
      <c r="H379" s="29" t="str">
        <f t="shared" si="11"/>
        <v/>
      </c>
    </row>
    <row r="380" spans="7:8" x14ac:dyDescent="0.3">
      <c r="G380" s="29" t="str">
        <f t="shared" si="10"/>
        <v/>
      </c>
      <c r="H380" s="29" t="str">
        <f t="shared" si="11"/>
        <v/>
      </c>
    </row>
    <row r="381" spans="7:8" x14ac:dyDescent="0.3">
      <c r="G381" s="29" t="str">
        <f t="shared" si="10"/>
        <v/>
      </c>
      <c r="H381" s="29" t="str">
        <f t="shared" si="11"/>
        <v/>
      </c>
    </row>
    <row r="382" spans="7:8" x14ac:dyDescent="0.3">
      <c r="G382" s="29" t="str">
        <f t="shared" si="10"/>
        <v/>
      </c>
      <c r="H382" s="29" t="str">
        <f t="shared" si="11"/>
        <v/>
      </c>
    </row>
    <row r="383" spans="7:8" x14ac:dyDescent="0.3">
      <c r="G383" s="29" t="str">
        <f t="shared" si="10"/>
        <v/>
      </c>
      <c r="H383" s="29" t="str">
        <f t="shared" si="11"/>
        <v/>
      </c>
    </row>
    <row r="384" spans="7:8" x14ac:dyDescent="0.3">
      <c r="G384" s="29" t="str">
        <f t="shared" si="10"/>
        <v/>
      </c>
      <c r="H384" s="29" t="str">
        <f t="shared" si="11"/>
        <v/>
      </c>
    </row>
    <row r="385" spans="7:8" x14ac:dyDescent="0.3">
      <c r="G385" s="29" t="str">
        <f t="shared" si="10"/>
        <v/>
      </c>
      <c r="H385" s="29" t="str">
        <f t="shared" si="11"/>
        <v/>
      </c>
    </row>
    <row r="386" spans="7:8" x14ac:dyDescent="0.3">
      <c r="G386" s="29" t="str">
        <f t="shared" si="10"/>
        <v/>
      </c>
      <c r="H386" s="29" t="str">
        <f t="shared" si="11"/>
        <v/>
      </c>
    </row>
    <row r="387" spans="7:8" x14ac:dyDescent="0.3">
      <c r="G387" s="29" t="str">
        <f t="shared" ref="G387:G450" si="12">IF(C387&lt;&gt;"", 0.7426*(2+(PI()^2/3-2)/(1+(2*PI()*(EXP(ABS(C387)/86.17333262-2)-1.075*EXP(-2)))^(3/2))^(2/3)),"")</f>
        <v/>
      </c>
      <c r="H387" s="29" t="str">
        <f t="shared" ref="H387:H450" si="13">IF(AND(A387&lt;&gt;"",B387&lt;&gt;"",G387&lt;&gt;""),A387*B387*G387*0.000001,"")</f>
        <v/>
      </c>
    </row>
    <row r="388" spans="7:8" x14ac:dyDescent="0.3">
      <c r="G388" s="29" t="str">
        <f t="shared" si="12"/>
        <v/>
      </c>
      <c r="H388" s="29" t="str">
        <f t="shared" si="13"/>
        <v/>
      </c>
    </row>
    <row r="389" spans="7:8" x14ac:dyDescent="0.3">
      <c r="G389" s="29" t="str">
        <f t="shared" si="12"/>
        <v/>
      </c>
      <c r="H389" s="29" t="str">
        <f t="shared" si="13"/>
        <v/>
      </c>
    </row>
    <row r="390" spans="7:8" x14ac:dyDescent="0.3">
      <c r="G390" s="29" t="str">
        <f t="shared" si="12"/>
        <v/>
      </c>
      <c r="H390" s="29" t="str">
        <f t="shared" si="13"/>
        <v/>
      </c>
    </row>
    <row r="391" spans="7:8" x14ac:dyDescent="0.3">
      <c r="G391" s="29" t="str">
        <f t="shared" si="12"/>
        <v/>
      </c>
      <c r="H391" s="29" t="str">
        <f t="shared" si="13"/>
        <v/>
      </c>
    </row>
    <row r="392" spans="7:8" x14ac:dyDescent="0.3">
      <c r="G392" s="29" t="str">
        <f t="shared" si="12"/>
        <v/>
      </c>
      <c r="H392" s="29" t="str">
        <f t="shared" si="13"/>
        <v/>
      </c>
    </row>
    <row r="393" spans="7:8" x14ac:dyDescent="0.3">
      <c r="G393" s="29" t="str">
        <f t="shared" si="12"/>
        <v/>
      </c>
      <c r="H393" s="29" t="str">
        <f t="shared" si="13"/>
        <v/>
      </c>
    </row>
    <row r="394" spans="7:8" x14ac:dyDescent="0.3">
      <c r="G394" s="29" t="str">
        <f t="shared" si="12"/>
        <v/>
      </c>
      <c r="H394" s="29" t="str">
        <f t="shared" si="13"/>
        <v/>
      </c>
    </row>
    <row r="395" spans="7:8" x14ac:dyDescent="0.3">
      <c r="G395" s="29" t="str">
        <f t="shared" si="12"/>
        <v/>
      </c>
      <c r="H395" s="29" t="str">
        <f t="shared" si="13"/>
        <v/>
      </c>
    </row>
    <row r="396" spans="7:8" x14ac:dyDescent="0.3">
      <c r="G396" s="29" t="str">
        <f t="shared" si="12"/>
        <v/>
      </c>
      <c r="H396" s="29" t="str">
        <f t="shared" si="13"/>
        <v/>
      </c>
    </row>
    <row r="397" spans="7:8" x14ac:dyDescent="0.3">
      <c r="G397" s="29" t="str">
        <f t="shared" si="12"/>
        <v/>
      </c>
      <c r="H397" s="29" t="str">
        <f t="shared" si="13"/>
        <v/>
      </c>
    </row>
    <row r="398" spans="7:8" x14ac:dyDescent="0.3">
      <c r="G398" s="29" t="str">
        <f t="shared" si="12"/>
        <v/>
      </c>
      <c r="H398" s="29" t="str">
        <f t="shared" si="13"/>
        <v/>
      </c>
    </row>
    <row r="399" spans="7:8" x14ac:dyDescent="0.3">
      <c r="G399" s="29" t="str">
        <f t="shared" si="12"/>
        <v/>
      </c>
      <c r="H399" s="29" t="str">
        <f t="shared" si="13"/>
        <v/>
      </c>
    </row>
    <row r="400" spans="7:8" x14ac:dyDescent="0.3">
      <c r="G400" s="29" t="str">
        <f t="shared" si="12"/>
        <v/>
      </c>
      <c r="H400" s="29" t="str">
        <f t="shared" si="13"/>
        <v/>
      </c>
    </row>
    <row r="401" spans="7:8" x14ac:dyDescent="0.3">
      <c r="G401" s="29" t="str">
        <f t="shared" si="12"/>
        <v/>
      </c>
      <c r="H401" s="29" t="str">
        <f t="shared" si="13"/>
        <v/>
      </c>
    </row>
    <row r="402" spans="7:8" x14ac:dyDescent="0.3">
      <c r="G402" s="29" t="str">
        <f t="shared" si="12"/>
        <v/>
      </c>
      <c r="H402" s="29" t="str">
        <f t="shared" si="13"/>
        <v/>
      </c>
    </row>
    <row r="403" spans="7:8" x14ac:dyDescent="0.3">
      <c r="G403" s="29" t="str">
        <f t="shared" si="12"/>
        <v/>
      </c>
      <c r="H403" s="29" t="str">
        <f t="shared" si="13"/>
        <v/>
      </c>
    </row>
    <row r="404" spans="7:8" x14ac:dyDescent="0.3">
      <c r="G404" s="29" t="str">
        <f t="shared" si="12"/>
        <v/>
      </c>
      <c r="H404" s="29" t="str">
        <f t="shared" si="13"/>
        <v/>
      </c>
    </row>
    <row r="405" spans="7:8" x14ac:dyDescent="0.3">
      <c r="G405" s="29" t="str">
        <f t="shared" si="12"/>
        <v/>
      </c>
      <c r="H405" s="29" t="str">
        <f t="shared" si="13"/>
        <v/>
      </c>
    </row>
    <row r="406" spans="7:8" x14ac:dyDescent="0.3">
      <c r="G406" s="29" t="str">
        <f t="shared" si="12"/>
        <v/>
      </c>
      <c r="H406" s="29" t="str">
        <f t="shared" si="13"/>
        <v/>
      </c>
    </row>
    <row r="407" spans="7:8" x14ac:dyDescent="0.3">
      <c r="G407" s="29" t="str">
        <f t="shared" si="12"/>
        <v/>
      </c>
      <c r="H407" s="29" t="str">
        <f t="shared" si="13"/>
        <v/>
      </c>
    </row>
    <row r="408" spans="7:8" x14ac:dyDescent="0.3">
      <c r="G408" s="29" t="str">
        <f t="shared" si="12"/>
        <v/>
      </c>
      <c r="H408" s="29" t="str">
        <f t="shared" si="13"/>
        <v/>
      </c>
    </row>
    <row r="409" spans="7:8" x14ac:dyDescent="0.3">
      <c r="G409" s="29" t="str">
        <f t="shared" si="12"/>
        <v/>
      </c>
      <c r="H409" s="29" t="str">
        <f t="shared" si="13"/>
        <v/>
      </c>
    </row>
    <row r="410" spans="7:8" x14ac:dyDescent="0.3">
      <c r="G410" s="29" t="str">
        <f t="shared" si="12"/>
        <v/>
      </c>
      <c r="H410" s="29" t="str">
        <f t="shared" si="13"/>
        <v/>
      </c>
    </row>
    <row r="411" spans="7:8" x14ac:dyDescent="0.3">
      <c r="G411" s="29" t="str">
        <f t="shared" si="12"/>
        <v/>
      </c>
      <c r="H411" s="29" t="str">
        <f t="shared" si="13"/>
        <v/>
      </c>
    </row>
    <row r="412" spans="7:8" x14ac:dyDescent="0.3">
      <c r="G412" s="29" t="str">
        <f t="shared" si="12"/>
        <v/>
      </c>
      <c r="H412" s="29" t="str">
        <f t="shared" si="13"/>
        <v/>
      </c>
    </row>
    <row r="413" spans="7:8" x14ac:dyDescent="0.3">
      <c r="G413" s="29" t="str">
        <f t="shared" si="12"/>
        <v/>
      </c>
      <c r="H413" s="29" t="str">
        <f t="shared" si="13"/>
        <v/>
      </c>
    </row>
    <row r="414" spans="7:8" x14ac:dyDescent="0.3">
      <c r="G414" s="29" t="str">
        <f t="shared" si="12"/>
        <v/>
      </c>
      <c r="H414" s="29" t="str">
        <f t="shared" si="13"/>
        <v/>
      </c>
    </row>
    <row r="415" spans="7:8" x14ac:dyDescent="0.3">
      <c r="G415" s="29" t="str">
        <f t="shared" si="12"/>
        <v/>
      </c>
      <c r="H415" s="29" t="str">
        <f t="shared" si="13"/>
        <v/>
      </c>
    </row>
    <row r="416" spans="7:8" x14ac:dyDescent="0.3">
      <c r="G416" s="29" t="str">
        <f t="shared" si="12"/>
        <v/>
      </c>
      <c r="H416" s="29" t="str">
        <f t="shared" si="13"/>
        <v/>
      </c>
    </row>
    <row r="417" spans="7:8" x14ac:dyDescent="0.3">
      <c r="G417" s="29" t="str">
        <f t="shared" si="12"/>
        <v/>
      </c>
      <c r="H417" s="29" t="str">
        <f t="shared" si="13"/>
        <v/>
      </c>
    </row>
    <row r="418" spans="7:8" x14ac:dyDescent="0.3">
      <c r="G418" s="29" t="str">
        <f t="shared" si="12"/>
        <v/>
      </c>
      <c r="H418" s="29" t="str">
        <f t="shared" si="13"/>
        <v/>
      </c>
    </row>
    <row r="419" spans="7:8" x14ac:dyDescent="0.3">
      <c r="G419" s="29" t="str">
        <f t="shared" si="12"/>
        <v/>
      </c>
      <c r="H419" s="29" t="str">
        <f t="shared" si="13"/>
        <v/>
      </c>
    </row>
    <row r="420" spans="7:8" x14ac:dyDescent="0.3">
      <c r="G420" s="29" t="str">
        <f t="shared" si="12"/>
        <v/>
      </c>
      <c r="H420" s="29" t="str">
        <f t="shared" si="13"/>
        <v/>
      </c>
    </row>
    <row r="421" spans="7:8" x14ac:dyDescent="0.3">
      <c r="G421" s="29" t="str">
        <f t="shared" si="12"/>
        <v/>
      </c>
      <c r="H421" s="29" t="str">
        <f t="shared" si="13"/>
        <v/>
      </c>
    </row>
    <row r="422" spans="7:8" x14ac:dyDescent="0.3">
      <c r="G422" s="29" t="str">
        <f t="shared" si="12"/>
        <v/>
      </c>
      <c r="H422" s="29" t="str">
        <f t="shared" si="13"/>
        <v/>
      </c>
    </row>
    <row r="423" spans="7:8" x14ac:dyDescent="0.3">
      <c r="G423" s="29" t="str">
        <f t="shared" si="12"/>
        <v/>
      </c>
      <c r="H423" s="29" t="str">
        <f t="shared" si="13"/>
        <v/>
      </c>
    </row>
    <row r="424" spans="7:8" x14ac:dyDescent="0.3">
      <c r="G424" s="29" t="str">
        <f t="shared" si="12"/>
        <v/>
      </c>
      <c r="H424" s="29" t="str">
        <f t="shared" si="13"/>
        <v/>
      </c>
    </row>
    <row r="425" spans="7:8" x14ac:dyDescent="0.3">
      <c r="G425" s="29" t="str">
        <f t="shared" si="12"/>
        <v/>
      </c>
      <c r="H425" s="29" t="str">
        <f t="shared" si="13"/>
        <v/>
      </c>
    </row>
    <row r="426" spans="7:8" x14ac:dyDescent="0.3">
      <c r="G426" s="29" t="str">
        <f t="shared" si="12"/>
        <v/>
      </c>
      <c r="H426" s="29" t="str">
        <f t="shared" si="13"/>
        <v/>
      </c>
    </row>
    <row r="427" spans="7:8" x14ac:dyDescent="0.3">
      <c r="G427" s="29" t="str">
        <f t="shared" si="12"/>
        <v/>
      </c>
      <c r="H427" s="29" t="str">
        <f t="shared" si="13"/>
        <v/>
      </c>
    </row>
    <row r="428" spans="7:8" x14ac:dyDescent="0.3">
      <c r="G428" s="29" t="str">
        <f t="shared" si="12"/>
        <v/>
      </c>
      <c r="H428" s="29" t="str">
        <f t="shared" si="13"/>
        <v/>
      </c>
    </row>
    <row r="429" spans="7:8" x14ac:dyDescent="0.3">
      <c r="G429" s="29" t="str">
        <f t="shared" si="12"/>
        <v/>
      </c>
      <c r="H429" s="29" t="str">
        <f t="shared" si="13"/>
        <v/>
      </c>
    </row>
    <row r="430" spans="7:8" x14ac:dyDescent="0.3">
      <c r="G430" s="29" t="str">
        <f t="shared" si="12"/>
        <v/>
      </c>
      <c r="H430" s="29" t="str">
        <f t="shared" si="13"/>
        <v/>
      </c>
    </row>
    <row r="431" spans="7:8" x14ac:dyDescent="0.3">
      <c r="G431" s="29" t="str">
        <f t="shared" si="12"/>
        <v/>
      </c>
      <c r="H431" s="29" t="str">
        <f t="shared" si="13"/>
        <v/>
      </c>
    </row>
    <row r="432" spans="7:8" x14ac:dyDescent="0.3">
      <c r="G432" s="29" t="str">
        <f t="shared" si="12"/>
        <v/>
      </c>
      <c r="H432" s="29" t="str">
        <f t="shared" si="13"/>
        <v/>
      </c>
    </row>
    <row r="433" spans="7:8" x14ac:dyDescent="0.3">
      <c r="G433" s="29" t="str">
        <f t="shared" si="12"/>
        <v/>
      </c>
      <c r="H433" s="29" t="str">
        <f t="shared" si="13"/>
        <v/>
      </c>
    </row>
    <row r="434" spans="7:8" x14ac:dyDescent="0.3">
      <c r="G434" s="29" t="str">
        <f t="shared" si="12"/>
        <v/>
      </c>
      <c r="H434" s="29" t="str">
        <f t="shared" si="13"/>
        <v/>
      </c>
    </row>
    <row r="435" spans="7:8" x14ac:dyDescent="0.3">
      <c r="G435" s="29" t="str">
        <f t="shared" si="12"/>
        <v/>
      </c>
      <c r="H435" s="29" t="str">
        <f t="shared" si="13"/>
        <v/>
      </c>
    </row>
    <row r="436" spans="7:8" x14ac:dyDescent="0.3">
      <c r="G436" s="29" t="str">
        <f t="shared" si="12"/>
        <v/>
      </c>
      <c r="H436" s="29" t="str">
        <f t="shared" si="13"/>
        <v/>
      </c>
    </row>
    <row r="437" spans="7:8" x14ac:dyDescent="0.3">
      <c r="G437" s="29" t="str">
        <f t="shared" si="12"/>
        <v/>
      </c>
      <c r="H437" s="29" t="str">
        <f t="shared" si="13"/>
        <v/>
      </c>
    </row>
    <row r="438" spans="7:8" x14ac:dyDescent="0.3">
      <c r="G438" s="29" t="str">
        <f t="shared" si="12"/>
        <v/>
      </c>
      <c r="H438" s="29" t="str">
        <f t="shared" si="13"/>
        <v/>
      </c>
    </row>
    <row r="439" spans="7:8" x14ac:dyDescent="0.3">
      <c r="G439" s="29" t="str">
        <f t="shared" si="12"/>
        <v/>
      </c>
      <c r="H439" s="29" t="str">
        <f t="shared" si="13"/>
        <v/>
      </c>
    </row>
    <row r="440" spans="7:8" x14ac:dyDescent="0.3">
      <c r="G440" s="29" t="str">
        <f t="shared" si="12"/>
        <v/>
      </c>
      <c r="H440" s="29" t="str">
        <f t="shared" si="13"/>
        <v/>
      </c>
    </row>
    <row r="441" spans="7:8" x14ac:dyDescent="0.3">
      <c r="G441" s="29" t="str">
        <f t="shared" si="12"/>
        <v/>
      </c>
      <c r="H441" s="29" t="str">
        <f t="shared" si="13"/>
        <v/>
      </c>
    </row>
    <row r="442" spans="7:8" x14ac:dyDescent="0.3">
      <c r="G442" s="29" t="str">
        <f t="shared" si="12"/>
        <v/>
      </c>
      <c r="H442" s="29" t="str">
        <f t="shared" si="13"/>
        <v/>
      </c>
    </row>
    <row r="443" spans="7:8" x14ac:dyDescent="0.3">
      <c r="G443" s="29" t="str">
        <f t="shared" si="12"/>
        <v/>
      </c>
      <c r="H443" s="29" t="str">
        <f t="shared" si="13"/>
        <v/>
      </c>
    </row>
    <row r="444" spans="7:8" x14ac:dyDescent="0.3">
      <c r="G444" s="29" t="str">
        <f t="shared" si="12"/>
        <v/>
      </c>
      <c r="H444" s="29" t="str">
        <f t="shared" si="13"/>
        <v/>
      </c>
    </row>
    <row r="445" spans="7:8" x14ac:dyDescent="0.3">
      <c r="G445" s="29" t="str">
        <f t="shared" si="12"/>
        <v/>
      </c>
      <c r="H445" s="29" t="str">
        <f t="shared" si="13"/>
        <v/>
      </c>
    </row>
    <row r="446" spans="7:8" x14ac:dyDescent="0.3">
      <c r="G446" s="29" t="str">
        <f t="shared" si="12"/>
        <v/>
      </c>
      <c r="H446" s="29" t="str">
        <f t="shared" si="13"/>
        <v/>
      </c>
    </row>
    <row r="447" spans="7:8" x14ac:dyDescent="0.3">
      <c r="G447" s="29" t="str">
        <f t="shared" si="12"/>
        <v/>
      </c>
      <c r="H447" s="29" t="str">
        <f t="shared" si="13"/>
        <v/>
      </c>
    </row>
    <row r="448" spans="7:8" x14ac:dyDescent="0.3">
      <c r="G448" s="29" t="str">
        <f t="shared" si="12"/>
        <v/>
      </c>
      <c r="H448" s="29" t="str">
        <f t="shared" si="13"/>
        <v/>
      </c>
    </row>
    <row r="449" spans="7:8" x14ac:dyDescent="0.3">
      <c r="G449" s="29" t="str">
        <f t="shared" si="12"/>
        <v/>
      </c>
      <c r="H449" s="29" t="str">
        <f t="shared" si="13"/>
        <v/>
      </c>
    </row>
    <row r="450" spans="7:8" x14ac:dyDescent="0.3">
      <c r="G450" s="29" t="str">
        <f t="shared" si="12"/>
        <v/>
      </c>
      <c r="H450" s="29" t="str">
        <f t="shared" si="13"/>
        <v/>
      </c>
    </row>
    <row r="451" spans="7:8" x14ac:dyDescent="0.3">
      <c r="G451" s="29" t="str">
        <f t="shared" ref="G451:G500" si="14">IF(C451&lt;&gt;"", 0.7426*(2+(PI()^2/3-2)/(1+(2*PI()*(EXP(ABS(C451)/86.17333262-2)-1.075*EXP(-2)))^(3/2))^(2/3)),"")</f>
        <v/>
      </c>
      <c r="H451" s="29" t="str">
        <f t="shared" ref="H451:H500" si="15">IF(AND(A451&lt;&gt;"",B451&lt;&gt;"",G451&lt;&gt;""),A451*B451*G451*0.000001,"")</f>
        <v/>
      </c>
    </row>
    <row r="452" spans="7:8" x14ac:dyDescent="0.3">
      <c r="G452" s="29" t="str">
        <f t="shared" si="14"/>
        <v/>
      </c>
      <c r="H452" s="29" t="str">
        <f t="shared" si="15"/>
        <v/>
      </c>
    </row>
    <row r="453" spans="7:8" x14ac:dyDescent="0.3">
      <c r="G453" s="29" t="str">
        <f t="shared" si="14"/>
        <v/>
      </c>
      <c r="H453" s="29" t="str">
        <f t="shared" si="15"/>
        <v/>
      </c>
    </row>
    <row r="454" spans="7:8" x14ac:dyDescent="0.3">
      <c r="G454" s="29" t="str">
        <f t="shared" si="14"/>
        <v/>
      </c>
      <c r="H454" s="29" t="str">
        <f t="shared" si="15"/>
        <v/>
      </c>
    </row>
    <row r="455" spans="7:8" x14ac:dyDescent="0.3">
      <c r="G455" s="29" t="str">
        <f t="shared" si="14"/>
        <v/>
      </c>
      <c r="H455" s="29" t="str">
        <f t="shared" si="15"/>
        <v/>
      </c>
    </row>
    <row r="456" spans="7:8" x14ac:dyDescent="0.3">
      <c r="G456" s="29" t="str">
        <f t="shared" si="14"/>
        <v/>
      </c>
      <c r="H456" s="29" t="str">
        <f t="shared" si="15"/>
        <v/>
      </c>
    </row>
    <row r="457" spans="7:8" x14ac:dyDescent="0.3">
      <c r="G457" s="29" t="str">
        <f t="shared" si="14"/>
        <v/>
      </c>
      <c r="H457" s="29" t="str">
        <f t="shared" si="15"/>
        <v/>
      </c>
    </row>
    <row r="458" spans="7:8" x14ac:dyDescent="0.3">
      <c r="G458" s="29" t="str">
        <f t="shared" si="14"/>
        <v/>
      </c>
      <c r="H458" s="29" t="str">
        <f t="shared" si="15"/>
        <v/>
      </c>
    </row>
    <row r="459" spans="7:8" x14ac:dyDescent="0.3">
      <c r="G459" s="29" t="str">
        <f t="shared" si="14"/>
        <v/>
      </c>
      <c r="H459" s="29" t="str">
        <f t="shared" si="15"/>
        <v/>
      </c>
    </row>
    <row r="460" spans="7:8" x14ac:dyDescent="0.3">
      <c r="G460" s="29" t="str">
        <f t="shared" si="14"/>
        <v/>
      </c>
      <c r="H460" s="29" t="str">
        <f t="shared" si="15"/>
        <v/>
      </c>
    </row>
    <row r="461" spans="7:8" x14ac:dyDescent="0.3">
      <c r="G461" s="29" t="str">
        <f t="shared" si="14"/>
        <v/>
      </c>
      <c r="H461" s="29" t="str">
        <f t="shared" si="15"/>
        <v/>
      </c>
    </row>
    <row r="462" spans="7:8" x14ac:dyDescent="0.3">
      <c r="G462" s="29" t="str">
        <f t="shared" si="14"/>
        <v/>
      </c>
      <c r="H462" s="29" t="str">
        <f t="shared" si="15"/>
        <v/>
      </c>
    </row>
    <row r="463" spans="7:8" x14ac:dyDescent="0.3">
      <c r="G463" s="29" t="str">
        <f t="shared" si="14"/>
        <v/>
      </c>
      <c r="H463" s="29" t="str">
        <f t="shared" si="15"/>
        <v/>
      </c>
    </row>
    <row r="464" spans="7:8" x14ac:dyDescent="0.3">
      <c r="G464" s="29" t="str">
        <f t="shared" si="14"/>
        <v/>
      </c>
      <c r="H464" s="29" t="str">
        <f t="shared" si="15"/>
        <v/>
      </c>
    </row>
    <row r="465" spans="7:8" x14ac:dyDescent="0.3">
      <c r="G465" s="29" t="str">
        <f t="shared" si="14"/>
        <v/>
      </c>
      <c r="H465" s="29" t="str">
        <f t="shared" si="15"/>
        <v/>
      </c>
    </row>
    <row r="466" spans="7:8" x14ac:dyDescent="0.3">
      <c r="G466" s="29" t="str">
        <f t="shared" si="14"/>
        <v/>
      </c>
      <c r="H466" s="29" t="str">
        <f t="shared" si="15"/>
        <v/>
      </c>
    </row>
    <row r="467" spans="7:8" x14ac:dyDescent="0.3">
      <c r="G467" s="29" t="str">
        <f t="shared" si="14"/>
        <v/>
      </c>
      <c r="H467" s="29" t="str">
        <f t="shared" si="15"/>
        <v/>
      </c>
    </row>
    <row r="468" spans="7:8" x14ac:dyDescent="0.3">
      <c r="G468" s="29" t="str">
        <f t="shared" si="14"/>
        <v/>
      </c>
      <c r="H468" s="29" t="str">
        <f t="shared" si="15"/>
        <v/>
      </c>
    </row>
    <row r="469" spans="7:8" x14ac:dyDescent="0.3">
      <c r="G469" s="29" t="str">
        <f t="shared" si="14"/>
        <v/>
      </c>
      <c r="H469" s="29" t="str">
        <f t="shared" si="15"/>
        <v/>
      </c>
    </row>
    <row r="470" spans="7:8" x14ac:dyDescent="0.3">
      <c r="G470" s="29" t="str">
        <f t="shared" si="14"/>
        <v/>
      </c>
      <c r="H470" s="29" t="str">
        <f t="shared" si="15"/>
        <v/>
      </c>
    </row>
    <row r="471" spans="7:8" x14ac:dyDescent="0.3">
      <c r="G471" s="29" t="str">
        <f t="shared" si="14"/>
        <v/>
      </c>
      <c r="H471" s="29" t="str">
        <f t="shared" si="15"/>
        <v/>
      </c>
    </row>
    <row r="472" spans="7:8" x14ac:dyDescent="0.3">
      <c r="G472" s="29" t="str">
        <f t="shared" si="14"/>
        <v/>
      </c>
      <c r="H472" s="29" t="str">
        <f t="shared" si="15"/>
        <v/>
      </c>
    </row>
    <row r="473" spans="7:8" x14ac:dyDescent="0.3">
      <c r="G473" s="29" t="str">
        <f t="shared" si="14"/>
        <v/>
      </c>
      <c r="H473" s="29" t="str">
        <f t="shared" si="15"/>
        <v/>
      </c>
    </row>
    <row r="474" spans="7:8" x14ac:dyDescent="0.3">
      <c r="G474" s="29" t="str">
        <f t="shared" si="14"/>
        <v/>
      </c>
      <c r="H474" s="29" t="str">
        <f t="shared" si="15"/>
        <v/>
      </c>
    </row>
    <row r="475" spans="7:8" x14ac:dyDescent="0.3">
      <c r="G475" s="29" t="str">
        <f t="shared" si="14"/>
        <v/>
      </c>
      <c r="H475" s="29" t="str">
        <f t="shared" si="15"/>
        <v/>
      </c>
    </row>
    <row r="476" spans="7:8" x14ac:dyDescent="0.3">
      <c r="G476" s="29" t="str">
        <f t="shared" si="14"/>
        <v/>
      </c>
      <c r="H476" s="29" t="str">
        <f t="shared" si="15"/>
        <v/>
      </c>
    </row>
    <row r="477" spans="7:8" x14ac:dyDescent="0.3">
      <c r="G477" s="29" t="str">
        <f t="shared" si="14"/>
        <v/>
      </c>
      <c r="H477" s="29" t="str">
        <f t="shared" si="15"/>
        <v/>
      </c>
    </row>
    <row r="478" spans="7:8" x14ac:dyDescent="0.3">
      <c r="G478" s="29" t="str">
        <f t="shared" si="14"/>
        <v/>
      </c>
      <c r="H478" s="29" t="str">
        <f t="shared" si="15"/>
        <v/>
      </c>
    </row>
    <row r="479" spans="7:8" x14ac:dyDescent="0.3">
      <c r="G479" s="29" t="str">
        <f t="shared" si="14"/>
        <v/>
      </c>
      <c r="H479" s="29" t="str">
        <f t="shared" si="15"/>
        <v/>
      </c>
    </row>
    <row r="480" spans="7:8" x14ac:dyDescent="0.3">
      <c r="G480" s="29" t="str">
        <f t="shared" si="14"/>
        <v/>
      </c>
      <c r="H480" s="29" t="str">
        <f t="shared" si="15"/>
        <v/>
      </c>
    </row>
    <row r="481" spans="7:8" x14ac:dyDescent="0.3">
      <c r="G481" s="29" t="str">
        <f t="shared" si="14"/>
        <v/>
      </c>
      <c r="H481" s="29" t="str">
        <f t="shared" si="15"/>
        <v/>
      </c>
    </row>
    <row r="482" spans="7:8" x14ac:dyDescent="0.3">
      <c r="G482" s="29" t="str">
        <f t="shared" si="14"/>
        <v/>
      </c>
      <c r="H482" s="29" t="str">
        <f t="shared" si="15"/>
        <v/>
      </c>
    </row>
    <row r="483" spans="7:8" x14ac:dyDescent="0.3">
      <c r="G483" s="29" t="str">
        <f t="shared" si="14"/>
        <v/>
      </c>
      <c r="H483" s="29" t="str">
        <f t="shared" si="15"/>
        <v/>
      </c>
    </row>
    <row r="484" spans="7:8" x14ac:dyDescent="0.3">
      <c r="G484" s="29" t="str">
        <f t="shared" si="14"/>
        <v/>
      </c>
      <c r="H484" s="29" t="str">
        <f t="shared" si="15"/>
        <v/>
      </c>
    </row>
    <row r="485" spans="7:8" x14ac:dyDescent="0.3">
      <c r="G485" s="29" t="str">
        <f t="shared" si="14"/>
        <v/>
      </c>
      <c r="H485" s="29" t="str">
        <f t="shared" si="15"/>
        <v/>
      </c>
    </row>
    <row r="486" spans="7:8" x14ac:dyDescent="0.3">
      <c r="G486" s="29" t="str">
        <f t="shared" si="14"/>
        <v/>
      </c>
      <c r="H486" s="29" t="str">
        <f t="shared" si="15"/>
        <v/>
      </c>
    </row>
    <row r="487" spans="7:8" x14ac:dyDescent="0.3">
      <c r="G487" s="29" t="str">
        <f t="shared" si="14"/>
        <v/>
      </c>
      <c r="H487" s="29" t="str">
        <f t="shared" si="15"/>
        <v/>
      </c>
    </row>
    <row r="488" spans="7:8" x14ac:dyDescent="0.3">
      <c r="G488" s="29" t="str">
        <f t="shared" si="14"/>
        <v/>
      </c>
      <c r="H488" s="29" t="str">
        <f t="shared" si="15"/>
        <v/>
      </c>
    </row>
    <row r="489" spans="7:8" x14ac:dyDescent="0.3">
      <c r="G489" s="29" t="str">
        <f t="shared" si="14"/>
        <v/>
      </c>
      <c r="H489" s="29" t="str">
        <f t="shared" si="15"/>
        <v/>
      </c>
    </row>
    <row r="490" spans="7:8" x14ac:dyDescent="0.3">
      <c r="G490" s="29" t="str">
        <f t="shared" si="14"/>
        <v/>
      </c>
      <c r="H490" s="29" t="str">
        <f t="shared" si="15"/>
        <v/>
      </c>
    </row>
    <row r="491" spans="7:8" x14ac:dyDescent="0.3">
      <c r="G491" s="29" t="str">
        <f t="shared" si="14"/>
        <v/>
      </c>
      <c r="H491" s="29" t="str">
        <f t="shared" si="15"/>
        <v/>
      </c>
    </row>
    <row r="492" spans="7:8" x14ac:dyDescent="0.3">
      <c r="G492" s="29" t="str">
        <f t="shared" si="14"/>
        <v/>
      </c>
      <c r="H492" s="29" t="str">
        <f t="shared" si="15"/>
        <v/>
      </c>
    </row>
    <row r="493" spans="7:8" x14ac:dyDescent="0.3">
      <c r="G493" s="29" t="str">
        <f t="shared" si="14"/>
        <v/>
      </c>
      <c r="H493" s="29" t="str">
        <f t="shared" si="15"/>
        <v/>
      </c>
    </row>
    <row r="494" spans="7:8" x14ac:dyDescent="0.3">
      <c r="G494" s="29" t="str">
        <f t="shared" si="14"/>
        <v/>
      </c>
      <c r="H494" s="29" t="str">
        <f t="shared" si="15"/>
        <v/>
      </c>
    </row>
    <row r="495" spans="7:8" x14ac:dyDescent="0.3">
      <c r="G495" s="29" t="str">
        <f t="shared" si="14"/>
        <v/>
      </c>
      <c r="H495" s="29" t="str">
        <f t="shared" si="15"/>
        <v/>
      </c>
    </row>
    <row r="496" spans="7:8" x14ac:dyDescent="0.3">
      <c r="G496" s="29" t="str">
        <f t="shared" si="14"/>
        <v/>
      </c>
      <c r="H496" s="29" t="str">
        <f t="shared" si="15"/>
        <v/>
      </c>
    </row>
    <row r="497" spans="7:8" x14ac:dyDescent="0.3">
      <c r="G497" s="29" t="str">
        <f t="shared" si="14"/>
        <v/>
      </c>
      <c r="H497" s="29" t="str">
        <f t="shared" si="15"/>
        <v/>
      </c>
    </row>
    <row r="498" spans="7:8" x14ac:dyDescent="0.3">
      <c r="G498" s="29" t="str">
        <f t="shared" si="14"/>
        <v/>
      </c>
      <c r="H498" s="29" t="str">
        <f t="shared" si="15"/>
        <v/>
      </c>
    </row>
    <row r="499" spans="7:8" x14ac:dyDescent="0.3">
      <c r="G499" s="29" t="str">
        <f t="shared" si="14"/>
        <v/>
      </c>
      <c r="H499" s="29" t="str">
        <f t="shared" si="15"/>
        <v/>
      </c>
    </row>
    <row r="500" spans="7:8" x14ac:dyDescent="0.3">
      <c r="G500" s="29" t="str">
        <f t="shared" si="14"/>
        <v/>
      </c>
      <c r="H500" s="29" t="str">
        <f t="shared" si="15"/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3" sqref="J3"/>
    </sheetView>
  </sheetViews>
  <sheetFormatPr defaultRowHeight="14" x14ac:dyDescent="0.3"/>
  <cols>
    <col min="1" max="1" width="3.75" customWidth="1"/>
    <col min="2" max="2" width="13.6640625" customWidth="1"/>
    <col min="3" max="3" width="3.75" customWidth="1"/>
    <col min="5" max="5" width="13.5" style="1" customWidth="1"/>
    <col min="6" max="7" width="13.5" customWidth="1"/>
    <col min="8" max="8" width="13.5" style="1" customWidth="1"/>
    <col min="9" max="9" width="3.75" customWidth="1"/>
    <col min="10" max="13" width="14.9140625" style="1" customWidth="1"/>
  </cols>
  <sheetData>
    <row r="1" spans="2:13" ht="16.5" x14ac:dyDescent="0.3">
      <c r="D1" s="3" t="s">
        <v>11</v>
      </c>
      <c r="E1" s="14" t="s">
        <v>1</v>
      </c>
      <c r="F1" s="3" t="s">
        <v>3</v>
      </c>
      <c r="G1" s="3" t="s">
        <v>2</v>
      </c>
      <c r="H1" s="14" t="s">
        <v>5</v>
      </c>
      <c r="J1" s="13" t="s">
        <v>13</v>
      </c>
      <c r="K1" s="13" t="s">
        <v>12</v>
      </c>
      <c r="L1" s="13" t="s">
        <v>14</v>
      </c>
      <c r="M1" s="14" t="s">
        <v>15</v>
      </c>
    </row>
    <row r="2" spans="2:13" x14ac:dyDescent="0.3">
      <c r="D2" s="12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456.82145664347701</v>
      </c>
      <c r="G2" s="1">
        <f t="shared" ref="G2:G33" si="1">$B$7/(1+($B$4*$B$10/300)^(-3/2)*E2/2/2.509412225)^(1/3)</f>
        <v>98.396315735234893</v>
      </c>
      <c r="H2" s="1">
        <f>IF(AND(E2&lt;&gt;"",F2&lt;&gt;"",G2&lt;&gt;""),1.6021766341*E2*G2*F2^2*0.000001,"")</f>
        <v>3.2898963821411131</v>
      </c>
      <c r="J2" s="15">
        <v>0.2</v>
      </c>
      <c r="K2" s="15">
        <v>400</v>
      </c>
      <c r="L2" s="15">
        <v>99</v>
      </c>
      <c r="M2" s="15">
        <f>IF(AND(J2&lt;&gt;"",K2&lt;&gt;"",L2&lt;&gt;""),1.6021766341*J2*L2*K2^2*0.000001,"")</f>
        <v>5.0756955768288003</v>
      </c>
    </row>
    <row r="3" spans="2:13" ht="16.5" x14ac:dyDescent="0.3">
      <c r="B3" s="7" t="s">
        <v>6</v>
      </c>
      <c r="D3" s="12">
        <v>2</v>
      </c>
      <c r="E3" s="1">
        <f t="shared" ref="E3:E66" si="2">10^(LOG10($B$13)+(D3-1)*(LOG10($B$16)-LOG10($B$13))/100-19)</f>
        <v>0.10715193052376093</v>
      </c>
      <c r="F3" s="1">
        <f t="shared" si="0"/>
        <v>450.9018386936184</v>
      </c>
      <c r="G3" s="1">
        <f t="shared" si="1"/>
        <v>98.353702003756624</v>
      </c>
      <c r="H3" s="1">
        <f t="shared" ref="H3:H66" si="3">IF(AND(E3&lt;&gt;"",F3&lt;&gt;"",G3&lt;&gt;""),1.6021766341*E3*G3*F3^2*0.000001,"")</f>
        <v>3.4329313412148843</v>
      </c>
    </row>
    <row r="4" spans="2:13" x14ac:dyDescent="0.3">
      <c r="B4" s="10">
        <v>1.05</v>
      </c>
      <c r="D4" s="12">
        <v>3</v>
      </c>
      <c r="E4" s="1">
        <f t="shared" si="2"/>
        <v>0.11481536214968792</v>
      </c>
      <c r="F4" s="1">
        <f t="shared" si="0"/>
        <v>444.98456862665398</v>
      </c>
      <c r="G4" s="1">
        <f t="shared" si="1"/>
        <v>98.308122384910092</v>
      </c>
      <c r="H4" s="1">
        <f t="shared" si="3"/>
        <v>3.5808794139298397</v>
      </c>
      <c r="M4" s="1" t="str">
        <f t="shared" ref="M3:M66" si="4">IF(AND(J4&lt;&gt;"",K4&lt;&gt;"",L4&lt;&gt;""),1.6021766341*J4*L4*K4^2*0.000001,"")</f>
        <v/>
      </c>
    </row>
    <row r="5" spans="2:13" x14ac:dyDescent="0.3">
      <c r="B5" s="16"/>
      <c r="D5" s="12">
        <v>4</v>
      </c>
      <c r="E5" s="1">
        <f t="shared" si="2"/>
        <v>0.12302687708123806</v>
      </c>
      <c r="F5" s="1">
        <f t="shared" si="0"/>
        <v>439.06981229456613</v>
      </c>
      <c r="G5" s="1">
        <f t="shared" si="1"/>
        <v>98.259376577221801</v>
      </c>
      <c r="H5" s="1">
        <f t="shared" si="3"/>
        <v>3.733804335181202</v>
      </c>
      <c r="M5" s="1" t="str">
        <f t="shared" si="4"/>
        <v/>
      </c>
    </row>
    <row r="6" spans="2:13" ht="16.5" x14ac:dyDescent="0.3">
      <c r="B6" s="7" t="s">
        <v>10</v>
      </c>
      <c r="D6" s="12">
        <v>5</v>
      </c>
      <c r="E6" s="1">
        <f t="shared" si="2"/>
        <v>0.13182567385564098</v>
      </c>
      <c r="F6" s="1">
        <f t="shared" si="0"/>
        <v>433.15774710775912</v>
      </c>
      <c r="G6" s="1">
        <f t="shared" si="1"/>
        <v>98.207251636107117</v>
      </c>
      <c r="H6" s="1">
        <f t="shared" si="3"/>
        <v>3.8917606591615859</v>
      </c>
      <c r="M6" s="1" t="str">
        <f t="shared" si="4"/>
        <v/>
      </c>
    </row>
    <row r="7" spans="2:13" x14ac:dyDescent="0.3">
      <c r="B7" s="10">
        <v>99</v>
      </c>
      <c r="D7" s="12">
        <v>6</v>
      </c>
      <c r="E7" s="1">
        <f t="shared" si="2"/>
        <v>0.14125375446227495</v>
      </c>
      <c r="F7" s="1">
        <f t="shared" si="0"/>
        <v>427.24856281747856</v>
      </c>
      <c r="G7" s="1">
        <f t="shared" si="1"/>
        <v>98.151521303695645</v>
      </c>
      <c r="H7" s="1">
        <f t="shared" si="3"/>
        <v>4.0547926457851018</v>
      </c>
      <c r="M7" s="1" t="str">
        <f t="shared" si="4"/>
        <v/>
      </c>
    </row>
    <row r="8" spans="2:13" x14ac:dyDescent="0.3">
      <c r="D8" s="12">
        <v>7</v>
      </c>
      <c r="E8" s="1">
        <f t="shared" si="2"/>
        <v>0.15135612484362068</v>
      </c>
      <c r="F8" s="1">
        <f t="shared" si="0"/>
        <v>421.34246234779346</v>
      </c>
      <c r="G8" s="1">
        <f t="shared" si="1"/>
        <v>98.091945322075006</v>
      </c>
      <c r="H8" s="1">
        <f t="shared" si="3"/>
        <v>4.2229330778698113</v>
      </c>
      <c r="M8" s="1" t="str">
        <f t="shared" si="4"/>
        <v/>
      </c>
    </row>
    <row r="9" spans="2:13" x14ac:dyDescent="0.3">
      <c r="B9" s="7" t="s">
        <v>9</v>
      </c>
      <c r="D9" s="12">
        <v>8</v>
      </c>
      <c r="E9" s="1">
        <f t="shared" si="2"/>
        <v>0.16218100973589328</v>
      </c>
      <c r="F9" s="1">
        <f t="shared" si="0"/>
        <v>415.43966267977947</v>
      </c>
      <c r="G9" s="1">
        <f t="shared" si="1"/>
        <v>98.028268732698749</v>
      </c>
      <c r="H9" s="1">
        <f t="shared" si="3"/>
        <v>4.3962020086279425</v>
      </c>
      <c r="M9" s="1" t="str">
        <f t="shared" si="4"/>
        <v/>
      </c>
    </row>
    <row r="10" spans="2:13" x14ac:dyDescent="0.3">
      <c r="B10" s="10">
        <v>300</v>
      </c>
      <c r="D10" s="12">
        <v>9</v>
      </c>
      <c r="E10" s="1">
        <f t="shared" si="2"/>
        <v>0.17378008287493688</v>
      </c>
      <c r="F10" s="1">
        <f t="shared" si="0"/>
        <v>409.54039579058576</v>
      </c>
      <c r="G10" s="1">
        <f t="shared" si="1"/>
        <v>97.960221165331859</v>
      </c>
      <c r="H10" s="1">
        <f t="shared" si="3"/>
        <v>4.5746054396278</v>
      </c>
      <c r="M10" s="1" t="str">
        <f t="shared" si="4"/>
        <v/>
      </c>
    </row>
    <row r="11" spans="2:13" x14ac:dyDescent="0.3">
      <c r="D11" s="12">
        <v>10</v>
      </c>
      <c r="E11" s="1">
        <f t="shared" si="2"/>
        <v>0.18620871366628652</v>
      </c>
      <c r="F11" s="1">
        <f t="shared" si="0"/>
        <v>403.6449096501326</v>
      </c>
      <c r="G11" s="1">
        <f t="shared" si="1"/>
        <v>97.887516120618642</v>
      </c>
      <c r="H11" s="1">
        <f t="shared" si="3"/>
        <v>4.7581339301157533</v>
      </c>
      <c r="M11" s="1" t="str">
        <f>IF(AND(J11&lt;&gt;"",K11&lt;&gt;"",L11&lt;&gt;""),1.6021766341*J11*L11*K11^2*0.000001,"")</f>
        <v/>
      </c>
    </row>
    <row r="12" spans="2:13" ht="16.5" x14ac:dyDescent="0.3">
      <c r="B12" s="8" t="s">
        <v>7</v>
      </c>
      <c r="D12" s="12">
        <v>11</v>
      </c>
      <c r="E12" s="1">
        <f t="shared" si="2"/>
        <v>0.19952623149688828</v>
      </c>
      <c r="F12" s="1">
        <f t="shared" si="0"/>
        <v>397.75346927822233</v>
      </c>
      <c r="G12" s="1">
        <f t="shared" si="1"/>
        <v>97.809850251151005</v>
      </c>
      <c r="H12" s="1">
        <f t="shared" si="3"/>
        <v>4.9467611394341455</v>
      </c>
      <c r="M12" s="1" t="str">
        <f t="shared" si="4"/>
        <v/>
      </c>
    </row>
    <row r="13" spans="2:13" x14ac:dyDescent="0.3">
      <c r="B13" s="11">
        <v>1E+18</v>
      </c>
      <c r="D13" s="12">
        <v>12</v>
      </c>
      <c r="E13" s="1">
        <f t="shared" si="2"/>
        <v>0.21379620895022236</v>
      </c>
      <c r="F13" s="1">
        <f t="shared" si="0"/>
        <v>391.86635786483862</v>
      </c>
      <c r="G13" s="1">
        <f t="shared" si="1"/>
        <v>97.72690264679926</v>
      </c>
      <c r="H13" s="1">
        <f t="shared" si="3"/>
        <v>5.1404423052535098</v>
      </c>
      <c r="M13" s="1" t="str">
        <f t="shared" si="4"/>
        <v/>
      </c>
    </row>
    <row r="14" spans="2:13" x14ac:dyDescent="0.3">
      <c r="D14" s="12">
        <v>13</v>
      </c>
      <c r="E14" s="1">
        <f t="shared" si="2"/>
        <v>0.22908676527677696</v>
      </c>
      <c r="F14" s="1">
        <f t="shared" si="0"/>
        <v>385.98387795641946</v>
      </c>
      <c r="G14" s="1">
        <f t="shared" si="1"/>
        <v>97.638334131045085</v>
      </c>
      <c r="H14" s="1">
        <f t="shared" si="3"/>
        <v>5.3391126614655589</v>
      </c>
      <c r="M14" s="1" t="str">
        <f t="shared" si="4"/>
        <v/>
      </c>
    </row>
    <row r="15" spans="2:13" ht="16.5" x14ac:dyDescent="0.3">
      <c r="B15" s="9" t="s">
        <v>8</v>
      </c>
      <c r="D15" s="12">
        <v>14</v>
      </c>
      <c r="E15" s="1">
        <f t="shared" si="2"/>
        <v>0.2454708915685033</v>
      </c>
      <c r="F15" s="1">
        <f t="shared" si="0"/>
        <v>380.1063527108517</v>
      </c>
      <c r="G15" s="1">
        <f t="shared" si="1"/>
        <v>97.543786576129818</v>
      </c>
      <c r="H15" s="1">
        <f t="shared" si="3"/>
        <v>5.5426858008701938</v>
      </c>
      <c r="M15" s="1" t="str">
        <f t="shared" si="4"/>
        <v/>
      </c>
    </row>
    <row r="16" spans="2:13" x14ac:dyDescent="0.3">
      <c r="B16" s="11">
        <v>1E+21</v>
      </c>
      <c r="D16" s="12">
        <v>15</v>
      </c>
      <c r="E16" s="1">
        <f t="shared" si="2"/>
        <v>0.2630267991895392</v>
      </c>
      <c r="F16" s="1">
        <f t="shared" si="0"/>
        <v>374.23412722384285</v>
      </c>
      <c r="G16" s="1">
        <f t="shared" si="1"/>
        <v>97.442882246000551</v>
      </c>
      <c r="H16" s="1">
        <f t="shared" si="3"/>
        <v>5.7510519892467968</v>
      </c>
      <c r="M16" s="1" t="str">
        <f t="shared" si="4"/>
        <v/>
      </c>
    </row>
    <row r="17" spans="4:13" x14ac:dyDescent="0.3">
      <c r="D17" s="12">
        <v>16</v>
      </c>
      <c r="E17" s="1">
        <f t="shared" si="2"/>
        <v>0.28183829312644487</v>
      </c>
      <c r="F17" s="1">
        <f t="shared" si="0"/>
        <v>368.3675699292462</v>
      </c>
      <c r="G17" s="1">
        <f t="shared" si="1"/>
        <v>97.33522317730403</v>
      </c>
      <c r="H17" s="1">
        <f t="shared" si="3"/>
        <v>5.9640764390352912</v>
      </c>
      <c r="M17" s="1" t="str">
        <f t="shared" si="4"/>
        <v/>
      </c>
    </row>
    <row r="18" spans="4:13" x14ac:dyDescent="0.3">
      <c r="D18" s="12">
        <v>17</v>
      </c>
      <c r="E18" s="1">
        <f t="shared" si="2"/>
        <v>0.30199517204020193</v>
      </c>
      <c r="F18" s="1">
        <f t="shared" si="0"/>
        <v>362.50707407573344</v>
      </c>
      <c r="G18" s="1">
        <f t="shared" si="1"/>
        <v>97.220390610033562</v>
      </c>
      <c r="H18" s="1">
        <f t="shared" si="3"/>
        <v>6.1815975526765756</v>
      </c>
      <c r="M18" s="1" t="str">
        <f t="shared" si="4"/>
        <v/>
      </c>
    </row>
    <row r="19" spans="4:13" x14ac:dyDescent="0.3">
      <c r="D19" s="12">
        <v>18</v>
      </c>
      <c r="E19" s="1">
        <f t="shared" si="2"/>
        <v>0.32359365692962944</v>
      </c>
      <c r="F19" s="1">
        <f t="shared" si="0"/>
        <v>356.65305928202923</v>
      </c>
      <c r="G19" s="1">
        <f t="shared" si="1"/>
        <v>97.097944480877999</v>
      </c>
      <c r="H19" s="1">
        <f t="shared" si="3"/>
        <v>6.4034251476790729</v>
      </c>
      <c r="M19" s="1" t="str">
        <f t="shared" si="4"/>
        <v/>
      </c>
    </row>
    <row r="20" spans="4:13" x14ac:dyDescent="0.3">
      <c r="D20" s="12">
        <v>19</v>
      </c>
      <c r="E20" s="1">
        <f t="shared" si="2"/>
        <v>0.34673685045253094</v>
      </c>
      <c r="F20" s="1">
        <f t="shared" si="0"/>
        <v>350.80597317262317</v>
      </c>
      <c r="G20" s="1">
        <f t="shared" si="1"/>
        <v>96.967422993834376</v>
      </c>
      <c r="H20" s="1">
        <f t="shared" si="3"/>
        <v>6.6293386776927594</v>
      </c>
      <c r="M20" s="1" t="str">
        <f t="shared" si="4"/>
        <v/>
      </c>
    </row>
    <row r="21" spans="4:13" x14ac:dyDescent="0.3">
      <c r="D21" s="12">
        <v>20</v>
      </c>
      <c r="E21" s="1">
        <f t="shared" si="2"/>
        <v>0.37153522909717274</v>
      </c>
      <c r="F21" s="1">
        <f t="shared" si="0"/>
        <v>344.96629309556261</v>
      </c>
      <c r="G21" s="1">
        <f t="shared" si="1"/>
        <v>96.828342284216546</v>
      </c>
      <c r="H21" s="1">
        <f t="shared" si="3"/>
        <v>6.8590854662804945</v>
      </c>
      <c r="M21" s="1" t="str">
        <f t="shared" si="4"/>
        <v/>
      </c>
    </row>
    <row r="22" spans="4:13" x14ac:dyDescent="0.3">
      <c r="D22" s="12">
        <v>21</v>
      </c>
      <c r="E22" s="1">
        <f t="shared" si="2"/>
        <v>0.39810717055349853</v>
      </c>
      <c r="F22" s="1">
        <f t="shared" si="0"/>
        <v>339.13452792350535</v>
      </c>
      <c r="G22" s="1">
        <f t="shared" si="1"/>
        <v>96.680196193796405</v>
      </c>
      <c r="H22" s="1">
        <f t="shared" si="3"/>
        <v>7.0923789726731403</v>
      </c>
      <c r="M22" s="1" t="str">
        <f t="shared" si="4"/>
        <v/>
      </c>
    </row>
    <row r="23" spans="4:13" x14ac:dyDescent="0.3">
      <c r="D23" s="12">
        <v>22</v>
      </c>
      <c r="E23" s="1">
        <f t="shared" si="2"/>
        <v>0.42657951880159162</v>
      </c>
      <c r="F23" s="1">
        <f t="shared" si="0"/>
        <v>333.31121993869129</v>
      </c>
      <c r="G23" s="1">
        <f t="shared" si="1"/>
        <v>96.522456176422253</v>
      </c>
      <c r="H23" s="1">
        <f t="shared" si="3"/>
        <v>7.3288971115673442</v>
      </c>
      <c r="M23" s="1" t="str">
        <f t="shared" si="4"/>
        <v/>
      </c>
    </row>
    <row r="24" spans="4:13" x14ac:dyDescent="0.3">
      <c r="D24" s="12">
        <v>23</v>
      </c>
      <c r="E24" s="1">
        <f t="shared" si="2"/>
        <v>0.45708818961487513</v>
      </c>
      <c r="F24" s="1">
        <f t="shared" si="0"/>
        <v>327.49694680189589</v>
      </c>
      <c r="G24" s="1">
        <f t="shared" si="1"/>
        <v>96.354571355036242</v>
      </c>
      <c r="H24" s="1">
        <f t="shared" si="3"/>
        <v>7.5682806519484069</v>
      </c>
      <c r="M24" s="1" t="str">
        <f t="shared" si="4"/>
        <v/>
      </c>
    </row>
    <row r="25" spans="4:13" x14ac:dyDescent="0.3">
      <c r="D25" s="12">
        <v>24</v>
      </c>
      <c r="E25" s="1">
        <f t="shared" si="2"/>
        <v>0.48977881936844764</v>
      </c>
      <c r="F25" s="1">
        <f t="shared" si="0"/>
        <v>321.69232360470539</v>
      </c>
      <c r="G25" s="1">
        <f t="shared" si="1"/>
        <v>96.175968752513313</v>
      </c>
      <c r="H25" s="1">
        <f t="shared" si="3"/>
        <v>7.810131722967002</v>
      </c>
      <c r="M25" s="1" t="str">
        <f t="shared" si="4"/>
        <v/>
      </c>
    </row>
    <row r="26" spans="4:13" x14ac:dyDescent="0.3">
      <c r="D26" s="12">
        <v>25</v>
      </c>
      <c r="E26" s="1">
        <f t="shared" si="2"/>
        <v>0.52480746024977121</v>
      </c>
      <c r="F26" s="1">
        <f t="shared" si="0"/>
        <v>315.89800500358024</v>
      </c>
      <c r="G26" s="1">
        <f t="shared" si="1"/>
        <v>95.986053720113247</v>
      </c>
      <c r="H26" s="1">
        <f t="shared" si="3"/>
        <v>8.0540124580253636</v>
      </c>
      <c r="M26" s="1" t="str">
        <f t="shared" si="4"/>
        <v/>
      </c>
    </row>
    <row r="27" spans="4:13" x14ac:dyDescent="0.3">
      <c r="D27" s="12">
        <v>26</v>
      </c>
      <c r="E27" s="1">
        <f t="shared" si="2"/>
        <v>0.56234132519034907</v>
      </c>
      <c r="F27" s="1">
        <f t="shared" si="0"/>
        <v>310.11468743319659</v>
      </c>
      <c r="G27" s="1">
        <f t="shared" si="1"/>
        <v>95.784210588513744</v>
      </c>
      <c r="H27" s="1">
        <f t="shared" si="3"/>
        <v>8.2994438113789641</v>
      </c>
      <c r="M27" s="1" t="str">
        <f t="shared" si="4"/>
        <v/>
      </c>
    </row>
    <row r="28" spans="4:13" x14ac:dyDescent="0.3">
      <c r="D28" s="12">
        <v>27</v>
      </c>
      <c r="E28" s="1">
        <f t="shared" si="2"/>
        <v>0.60255958607435922</v>
      </c>
      <c r="F28" s="1">
        <f t="shared" si="0"/>
        <v>304.34311139539932</v>
      </c>
      <c r="G28" s="1">
        <f t="shared" si="1"/>
        <v>95.569803567301292</v>
      </c>
      <c r="H28" s="1">
        <f t="shared" si="3"/>
        <v>8.5459045846665571</v>
      </c>
      <c r="M28" s="1" t="str">
        <f t="shared" si="4"/>
        <v/>
      </c>
    </row>
    <row r="29" spans="4:13" x14ac:dyDescent="0.3">
      <c r="D29" s="12">
        <v>28</v>
      </c>
      <c r="E29" s="1">
        <f t="shared" si="2"/>
        <v>0.64565422903465364</v>
      </c>
      <c r="F29" s="1">
        <f t="shared" si="0"/>
        <v>298.58406381875687</v>
      </c>
      <c r="G29" s="1">
        <f t="shared" si="1"/>
        <v>95.342177919353432</v>
      </c>
      <c r="H29" s="1">
        <f t="shared" si="3"/>
        <v>8.7928307037608509</v>
      </c>
      <c r="M29" s="1" t="str">
        <f t="shared" si="4"/>
        <v/>
      </c>
    </row>
    <row r="30" spans="4:13" x14ac:dyDescent="0.3">
      <c r="D30" s="12">
        <v>29</v>
      </c>
      <c r="E30" s="1">
        <f t="shared" si="2"/>
        <v>0.69183097091893619</v>
      </c>
      <c r="F30" s="1">
        <f t="shared" si="0"/>
        <v>292.83838048220787</v>
      </c>
      <c r="G30" s="1">
        <f t="shared" si="1"/>
        <v>95.100661436663103</v>
      </c>
      <c r="H30" s="1">
        <f t="shared" si="3"/>
        <v>9.0396147890792768</v>
      </c>
      <c r="M30" s="1" t="str">
        <f t="shared" si="4"/>
        <v/>
      </c>
    </row>
    <row r="31" spans="4:13" x14ac:dyDescent="0.3">
      <c r="D31" s="12">
        <v>30</v>
      </c>
      <c r="E31" s="1">
        <f t="shared" si="2"/>
        <v>0.74131024130091916</v>
      </c>
      <c r="F31" s="1">
        <f t="shared" si="0"/>
        <v>287.10694849457059</v>
      </c>
      <c r="G31" s="1">
        <f t="shared" si="1"/>
        <v>94.844566243728735</v>
      </c>
      <c r="H31" s="1">
        <f t="shared" si="3"/>
        <v>9.2856060648941305</v>
      </c>
      <c r="M31" s="1" t="str">
        <f t="shared" si="4"/>
        <v/>
      </c>
    </row>
    <row r="32" spans="4:13" x14ac:dyDescent="0.3">
      <c r="D32" s="12">
        <v>31</v>
      </c>
      <c r="E32" s="1">
        <f t="shared" si="2"/>
        <v>0.79432823472427894</v>
      </c>
      <c r="F32" s="1">
        <f t="shared" si="0"/>
        <v>281.39070881972924</v>
      </c>
      <c r="G32" s="1">
        <f t="shared" si="1"/>
        <v>94.573190953557997</v>
      </c>
      <c r="H32" s="1">
        <f t="shared" si="3"/>
        <v>9.5301106550962018</v>
      </c>
      <c r="M32" s="1" t="str">
        <f t="shared" si="4"/>
        <v/>
      </c>
    </row>
    <row r="33" spans="4:13" x14ac:dyDescent="0.3">
      <c r="D33" s="12">
        <v>32</v>
      </c>
      <c r="E33" s="1">
        <f t="shared" si="2"/>
        <v>0.85113803820237588</v>
      </c>
      <c r="F33" s="1">
        <f t="shared" si="0"/>
        <v>275.69065883515714</v>
      </c>
      <c r="G33" s="1">
        <f t="shared" si="1"/>
        <v>94.285823199502843</v>
      </c>
      <c r="H33" s="1">
        <f t="shared" si="3"/>
        <v>9.7723923141412961</v>
      </c>
      <c r="M33" s="1" t="str">
        <f t="shared" si="4"/>
        <v/>
      </c>
    </row>
    <row r="34" spans="4:13" x14ac:dyDescent="0.3">
      <c r="D34" s="12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270.00785490902143</v>
      </c>
      <c r="G34" s="1">
        <f t="shared" ref="G34:G65" si="6">$B$7/(1+($B$4*$B$10/300)^(-3/2)*E34/2/2.509412225)^(1/3)</f>
        <v>93.981742563447511</v>
      </c>
      <c r="H34" s="1">
        <f t="shared" si="3"/>
        <v>10.011673642378197</v>
      </c>
      <c r="M34" s="1" t="str">
        <f t="shared" si="4"/>
        <v/>
      </c>
    </row>
    <row r="35" spans="4:13" x14ac:dyDescent="0.3">
      <c r="D35" s="12">
        <v>34</v>
      </c>
      <c r="E35" s="1">
        <f t="shared" si="2"/>
        <v>0.97723722095580712</v>
      </c>
      <c r="F35" s="1">
        <f t="shared" si="5"/>
        <v>264.34341497842854</v>
      </c>
      <c r="G35" s="1">
        <f t="shared" si="6"/>
        <v>93.660223917207816</v>
      </c>
      <c r="H35" s="1">
        <f t="shared" si="3"/>
        <v>10.247137834439016</v>
      </c>
      <c r="M35" s="1" t="str">
        <f t="shared" si="4"/>
        <v/>
      </c>
    </row>
    <row r="36" spans="4:13" x14ac:dyDescent="0.3">
      <c r="D36" s="12">
        <v>35</v>
      </c>
      <c r="E36" s="1">
        <f t="shared" si="2"/>
        <v>1.0471285480508985</v>
      </c>
      <c r="F36" s="1">
        <f t="shared" si="5"/>
        <v>258.69852110846062</v>
      </c>
      <c r="G36" s="1">
        <f t="shared" si="6"/>
        <v>93.320541189284071</v>
      </c>
      <c r="H36" s="1">
        <f t="shared" si="3"/>
        <v>10.477931007677483</v>
      </c>
      <c r="M36" s="1" t="str">
        <f t="shared" si="4"/>
        <v/>
      </c>
    </row>
    <row r="37" spans="4:13" x14ac:dyDescent="0.3">
      <c r="D37" s="12">
        <v>36</v>
      </c>
      <c r="E37" s="1">
        <f t="shared" si="2"/>
        <v>1.1220184543019653</v>
      </c>
      <c r="F37" s="1">
        <f t="shared" si="5"/>
        <v>253.07442200846825</v>
      </c>
      <c r="G37" s="1">
        <f t="shared" si="6"/>
        <v>92.961971563264484</v>
      </c>
      <c r="H37" s="1">
        <f t="shared" si="3"/>
        <v>10.703165154578505</v>
      </c>
      <c r="M37" s="1" t="str">
        <f t="shared" si="4"/>
        <v/>
      </c>
    </row>
    <row r="38" spans="4:13" x14ac:dyDescent="0.3">
      <c r="D38" s="12">
        <v>37</v>
      </c>
      <c r="E38" s="1">
        <f t="shared" si="2"/>
        <v>1.2022644346174083</v>
      </c>
      <c r="F38" s="1">
        <f t="shared" si="5"/>
        <v>247.47243547863187</v>
      </c>
      <c r="G38" s="1">
        <f t="shared" si="6"/>
        <v>92.583800107161778</v>
      </c>
      <c r="H38" s="1">
        <f t="shared" si="3"/>
        <v>10.921921758448546</v>
      </c>
      <c r="M38" s="1" t="str">
        <f t="shared" si="4"/>
        <v/>
      </c>
    </row>
    <row r="39" spans="4:13" x14ac:dyDescent="0.3">
      <c r="D39" s="12">
        <v>38</v>
      </c>
      <c r="E39" s="1">
        <f t="shared" si="2"/>
        <v>1.2882495516931323</v>
      </c>
      <c r="F39" s="1">
        <f t="shared" si="5"/>
        <v>241.89395075614422</v>
      </c>
      <c r="G39" s="1">
        <f t="shared" si="6"/>
        <v>92.185324824772692</v>
      </c>
      <c r="H39" s="1">
        <f t="shared" si="3"/>
        <v>11.133256105356583</v>
      </c>
      <c r="M39" s="1" t="str">
        <f t="shared" si="4"/>
        <v/>
      </c>
    </row>
    <row r="40" spans="4:13" x14ac:dyDescent="0.3">
      <c r="D40" s="12">
        <v>39</v>
      </c>
      <c r="E40" s="1">
        <f t="shared" si="2"/>
        <v>1.3803842646028868</v>
      </c>
      <c r="F40" s="1">
        <f t="shared" si="5"/>
        <v>236.34043072647933</v>
      </c>
      <c r="G40" s="1">
        <f t="shared" si="6"/>
        <v>91.765862110817679</v>
      </c>
      <c r="H40" s="1">
        <f t="shared" si="3"/>
        <v>11.33620231708873</v>
      </c>
      <c r="M40" s="1" t="str">
        <f t="shared" si="4"/>
        <v/>
      </c>
    </row>
    <row r="41" spans="4:13" x14ac:dyDescent="0.3">
      <c r="D41" s="12">
        <v>40</v>
      </c>
      <c r="E41" s="1">
        <f t="shared" si="2"/>
        <v>1.4791083881682132</v>
      </c>
      <c r="F41" s="1">
        <f t="shared" si="5"/>
        <v>230.81341396112094</v>
      </c>
      <c r="G41" s="1">
        <f t="shared" si="6"/>
        <v>91.32475258122976</v>
      </c>
      <c r="H41" s="1">
        <f t="shared" si="3"/>
        <v>11.529779119697622</v>
      </c>
      <c r="M41" s="1" t="str">
        <f t="shared" si="4"/>
        <v/>
      </c>
    </row>
    <row r="42" spans="4:13" x14ac:dyDescent="0.3">
      <c r="D42" s="12">
        <v>41</v>
      </c>
      <c r="E42" s="1">
        <f t="shared" si="2"/>
        <v>1.5848931924611109</v>
      </c>
      <c r="F42" s="1">
        <f t="shared" si="5"/>
        <v>225.31451653894595</v>
      </c>
      <c r="G42" s="1">
        <f t="shared" si="6"/>
        <v>90.86136723867692</v>
      </c>
      <c r="H42" s="1">
        <f t="shared" si="3"/>
        <v>11.71299635001491</v>
      </c>
      <c r="M42" s="1" t="str">
        <f t="shared" si="4"/>
        <v/>
      </c>
    </row>
    <row r="43" spans="4:13" x14ac:dyDescent="0.3">
      <c r="D43" s="12">
        <v>42</v>
      </c>
      <c r="E43" s="1">
        <f t="shared" si="2"/>
        <v>1.6982436524617461</v>
      </c>
      <c r="F43" s="1">
        <f t="shared" si="5"/>
        <v>219.84543360416555</v>
      </c>
      <c r="G43" s="1">
        <f t="shared" si="6"/>
        <v>90.375113921429943</v>
      </c>
      <c r="H43" s="1">
        <f t="shared" si="3"/>
        <v>11.884862188265766</v>
      </c>
      <c r="M43" s="1" t="str">
        <f t="shared" si="4"/>
        <v/>
      </c>
    </row>
    <row r="44" spans="4:13" x14ac:dyDescent="0.3">
      <c r="D44" s="12">
        <v>43</v>
      </c>
      <c r="E44" s="1">
        <f t="shared" si="2"/>
        <v>1.8197008586099901</v>
      </c>
      <c r="F44" s="1">
        <f t="shared" si="5"/>
        <v>214.40794060948355</v>
      </c>
      <c r="G44" s="1">
        <f t="shared" si="6"/>
        <v>89.865443971320758</v>
      </c>
      <c r="H44" s="1">
        <f t="shared" si="3"/>
        <v>12.044391088767231</v>
      </c>
      <c r="M44" s="1" t="str">
        <f t="shared" si="4"/>
        <v/>
      </c>
    </row>
    <row r="45" spans="4:13" x14ac:dyDescent="0.3">
      <c r="D45" s="12">
        <v>44</v>
      </c>
      <c r="E45" s="1">
        <f t="shared" si="2"/>
        <v>1.9498445997580416</v>
      </c>
      <c r="F45" s="1">
        <f t="shared" si="5"/>
        <v>209.0038941889573</v>
      </c>
      <c r="G45" s="1">
        <f t="shared" si="6"/>
        <v>89.331859044127299</v>
      </c>
      <c r="H45" s="1">
        <f t="shared" si="3"/>
        <v>12.190612362794946</v>
      </c>
      <c r="M45" s="1" t="str">
        <f t="shared" si="4"/>
        <v/>
      </c>
    </row>
    <row r="46" spans="4:13" x14ac:dyDescent="0.3">
      <c r="D46" s="12">
        <v>45</v>
      </c>
      <c r="E46" s="1">
        <f t="shared" si="2"/>
        <v>2.089296130854041</v>
      </c>
      <c r="F46" s="1">
        <f t="shared" si="5"/>
        <v>203.63523260114232</v>
      </c>
      <c r="G46" s="1">
        <f t="shared" si="6"/>
        <v>88.773917973695163</v>
      </c>
      <c r="H46" s="1">
        <f t="shared" si="3"/>
        <v>12.322579348350345</v>
      </c>
      <c r="M46" s="1" t="str">
        <f t="shared" si="4"/>
        <v/>
      </c>
    </row>
    <row r="47" spans="4:13" x14ac:dyDescent="0.3">
      <c r="D47" s="12">
        <v>46</v>
      </c>
      <c r="E47" s="1">
        <f t="shared" si="2"/>
        <v>2.238721138568347</v>
      </c>
      <c r="F47" s="1">
        <f t="shared" si="5"/>
        <v>198.30397567955254</v>
      </c>
      <c r="G47" s="1">
        <f t="shared" si="6"/>
        <v>88.191243589941024</v>
      </c>
      <c r="H47" s="1">
        <f t="shared" si="3"/>
        <v>12.439379081152731</v>
      </c>
      <c r="M47" s="1" t="str">
        <f t="shared" si="4"/>
        <v/>
      </c>
    </row>
    <row r="48" spans="4:13" x14ac:dyDescent="0.3">
      <c r="D48" s="12">
        <v>47</v>
      </c>
      <c r="E48" s="1">
        <f t="shared" si="2"/>
        <v>2.398832919019485</v>
      </c>
      <c r="F48" s="1">
        <f t="shared" si="5"/>
        <v>193.01222422443627</v>
      </c>
      <c r="G48" s="1">
        <f t="shared" si="6"/>
        <v>87.583529381089761</v>
      </c>
      <c r="H48" s="1">
        <f t="shared" si="3"/>
        <v>12.540142360227229</v>
      </c>
      <c r="M48" s="1" t="str">
        <f t="shared" si="4"/>
        <v/>
      </c>
    </row>
    <row r="49" spans="4:13" x14ac:dyDescent="0.3">
      <c r="D49" s="12">
        <v>48</v>
      </c>
      <c r="E49" s="1">
        <f t="shared" si="2"/>
        <v>2.5703957827688648</v>
      </c>
      <c r="F49" s="1">
        <f t="shared" si="5"/>
        <v>187.76215876759161</v>
      </c>
      <c r="G49" s="1">
        <f t="shared" si="6"/>
        <v>86.950545882623544</v>
      </c>
      <c r="H49" s="1">
        <f t="shared" si="3"/>
        <v>12.624054080577134</v>
      </c>
      <c r="M49" s="1" t="str">
        <f t="shared" si="4"/>
        <v/>
      </c>
    </row>
    <row r="50" spans="4:13" x14ac:dyDescent="0.3">
      <c r="D50" s="12">
        <v>49</v>
      </c>
      <c r="E50" s="1">
        <f t="shared" si="2"/>
        <v>2.7542287033381752</v>
      </c>
      <c r="F50" s="1">
        <f t="shared" si="5"/>
        <v>182.55603764057861</v>
      </c>
      <c r="G50" s="1">
        <f t="shared" si="6"/>
        <v>86.292146669990885</v>
      </c>
      <c r="H50" s="1">
        <f t="shared" si="3"/>
        <v>12.690363685334052</v>
      </c>
      <c r="M50" s="1" t="str">
        <f t="shared" si="4"/>
        <v/>
      </c>
    </row>
    <row r="51" spans="4:13" x14ac:dyDescent="0.3">
      <c r="D51" s="12">
        <v>50</v>
      </c>
      <c r="E51" s="1">
        <f t="shared" si="2"/>
        <v>2.9512092266663785</v>
      </c>
      <c r="F51" s="1">
        <f t="shared" si="5"/>
        <v>177.39619427645368</v>
      </c>
      <c r="G51" s="1">
        <f t="shared" si="6"/>
        <v>85.608273829629482</v>
      </c>
      <c r="H51" s="1">
        <f t="shared" si="3"/>
        <v>12.738395571264245</v>
      </c>
      <c r="M51" s="1" t="str">
        <f t="shared" si="4"/>
        <v/>
      </c>
    </row>
    <row r="52" spans="4:13" x14ac:dyDescent="0.3">
      <c r="D52" s="12">
        <v>51</v>
      </c>
      <c r="E52" s="1">
        <f t="shared" si="2"/>
        <v>3.1622776601683795</v>
      </c>
      <c r="F52" s="1">
        <f t="shared" si="5"/>
        <v>172.28503367633675</v>
      </c>
      <c r="G52" s="1">
        <f t="shared" si="6"/>
        <v>84.898962783734348</v>
      </c>
      <c r="H52" s="1">
        <f t="shared" si="3"/>
        <v>12.767559265418745</v>
      </c>
      <c r="M52" s="1" t="str">
        <f t="shared" si="4"/>
        <v/>
      </c>
    </row>
    <row r="53" spans="4:13" x14ac:dyDescent="0.3">
      <c r="D53" s="12">
        <v>52</v>
      </c>
      <c r="E53" s="1">
        <f t="shared" si="2"/>
        <v>3.3884415613920345</v>
      </c>
      <c r="F53" s="1">
        <f t="shared" si="5"/>
        <v>167.22502797492234</v>
      </c>
      <c r="G53" s="1">
        <f t="shared" si="6"/>
        <v>84.16434634876677</v>
      </c>
      <c r="H53" s="1">
        <f t="shared" si="3"/>
        <v>12.777359177914203</v>
      </c>
      <c r="M53" s="1" t="str">
        <f t="shared" si="4"/>
        <v/>
      </c>
    </row>
    <row r="54" spans="4:13" x14ac:dyDescent="0.3">
      <c r="D54" s="12">
        <v>53</v>
      </c>
      <c r="E54" s="1">
        <f t="shared" si="2"/>
        <v>3.6307805477010029</v>
      </c>
      <c r="F54" s="1">
        <f t="shared" si="5"/>
        <v>162.21871104369652</v>
      </c>
      <c r="G54" s="1">
        <f t="shared" si="6"/>
        <v>83.404657916143137</v>
      </c>
      <c r="H54" s="1">
        <f t="shared" si="3"/>
        <v>12.767403727161144</v>
      </c>
      <c r="M54" s="1" t="str">
        <f t="shared" si="4"/>
        <v/>
      </c>
    </row>
    <row r="55" spans="4:13" x14ac:dyDescent="0.3">
      <c r="D55" s="12">
        <v>54</v>
      </c>
      <c r="E55" s="1">
        <f t="shared" si="2"/>
        <v>3.8904514499428049</v>
      </c>
      <c r="F55" s="1">
        <f t="shared" si="5"/>
        <v>157.26867207740355</v>
      </c>
      <c r="G55" s="1">
        <f t="shared" si="6"/>
        <v>82.620233655902339</v>
      </c>
      <c r="H55" s="1">
        <f t="shared" si="3"/>
        <v>12.737413630093483</v>
      </c>
      <c r="M55" s="1" t="str">
        <f t="shared" si="4"/>
        <v/>
      </c>
    </row>
    <row r="56" spans="4:13" x14ac:dyDescent="0.3">
      <c r="D56" s="12">
        <v>55</v>
      </c>
      <c r="E56" s="1">
        <f t="shared" si="2"/>
        <v>4.1686938347033644</v>
      </c>
      <c r="F56" s="1">
        <f t="shared" si="5"/>
        <v>152.37754811837064</v>
      </c>
      <c r="G56" s="1">
        <f t="shared" si="6"/>
        <v>81.811513660274883</v>
      </c>
      <c r="H56" s="1">
        <f t="shared" si="3"/>
        <v>12.687229151762152</v>
      </c>
      <c r="M56" s="1" t="str">
        <f t="shared" si="4"/>
        <v/>
      </c>
    </row>
    <row r="57" spans="4:13" x14ac:dyDescent="0.3">
      <c r="D57" s="12">
        <v>56</v>
      </c>
      <c r="E57" s="1">
        <f t="shared" si="2"/>
        <v>4.4668359215096176</v>
      </c>
      <c r="F57" s="1">
        <f t="shared" si="5"/>
        <v>147.54801548480893</v>
      </c>
      <c r="G57" s="1">
        <f t="shared" si="6"/>
        <v>80.979041963628347</v>
      </c>
      <c r="H57" s="1">
        <f t="shared" si="3"/>
        <v>12.616816116540319</v>
      </c>
      <c r="M57" s="1" t="str">
        <f t="shared" si="4"/>
        <v/>
      </c>
    </row>
    <row r="58" spans="4:13" x14ac:dyDescent="0.3">
      <c r="D58" s="12">
        <v>57</v>
      </c>
      <c r="E58" s="1">
        <f t="shared" si="2"/>
        <v>4.7863009232263813</v>
      </c>
      <c r="F58" s="1">
        <f t="shared" si="5"/>
        <v>142.78278008331699</v>
      </c>
      <c r="G58" s="1">
        <f t="shared" si="6"/>
        <v>80.123465397734549</v>
      </c>
      <c r="H58" s="1">
        <f t="shared" si="3"/>
        <v>12.526270497453529</v>
      </c>
      <c r="M58" s="1" t="str">
        <f t="shared" si="4"/>
        <v/>
      </c>
    </row>
    <row r="59" spans="4:13" x14ac:dyDescent="0.3">
      <c r="D59" s="12">
        <v>58</v>
      </c>
      <c r="E59" s="1">
        <f t="shared" si="2"/>
        <v>5.1286138399136592</v>
      </c>
      <c r="F59" s="1">
        <f t="shared" si="5"/>
        <v>138.08456660250411</v>
      </c>
      <c r="G59" s="1">
        <f t="shared" si="6"/>
        <v>79.245531265995368</v>
      </c>
      <c r="H59" s="1">
        <f t="shared" si="3"/>
        <v>12.415821420862216</v>
      </c>
      <c r="M59" s="1" t="str">
        <f t="shared" si="4"/>
        <v/>
      </c>
    </row>
    <row r="60" spans="4:13" x14ac:dyDescent="0.3">
      <c r="D60" s="12">
        <v>59</v>
      </c>
      <c r="E60" s="1">
        <f t="shared" si="2"/>
        <v>5.4954087385762262</v>
      </c>
      <c r="F60" s="1">
        <f t="shared" si="5"/>
        <v>133.4561066038616</v>
      </c>
      <c r="G60" s="1">
        <f t="shared" si="6"/>
        <v>78.34608384634717</v>
      </c>
      <c r="H60" s="1">
        <f t="shared" si="3"/>
        <v>12.285832450691359</v>
      </c>
      <c r="M60" s="1" t="str">
        <f t="shared" si="4"/>
        <v/>
      </c>
    </row>
    <row r="61" spans="4:13" x14ac:dyDescent="0.3">
      <c r="D61" s="12">
        <v>60</v>
      </c>
      <c r="E61" s="1">
        <f t="shared" si="2"/>
        <v>5.8884365535558842</v>
      </c>
      <c r="F61" s="1">
        <f t="shared" si="5"/>
        <v>128.90012554762501</v>
      </c>
      <c r="G61" s="1">
        <f t="shared" si="6"/>
        <v>77.426059759116455</v>
      </c>
      <c r="H61" s="1">
        <f t="shared" si="3"/>
        <v>12.136801049152762</v>
      </c>
      <c r="M61" s="1" t="str">
        <f t="shared" si="4"/>
        <v/>
      </c>
    </row>
    <row r="62" spans="4:13" x14ac:dyDescent="0.3">
      <c r="D62" s="12">
        <v>61</v>
      </c>
      <c r="E62" s="1">
        <f t="shared" si="2"/>
        <v>6.3095734448019449</v>
      </c>
      <c r="F62" s="1">
        <f t="shared" si="5"/>
        <v>124.41932881504502</v>
      </c>
      <c r="G62" s="1">
        <f t="shared" si="6"/>
        <v>76.486482262127112</v>
      </c>
      <c r="H62" s="1">
        <f t="shared" si="3"/>
        <v>11.969356148692594</v>
      </c>
      <c r="M62" s="1" t="str">
        <f t="shared" si="4"/>
        <v/>
      </c>
    </row>
    <row r="63" spans="4:13" x14ac:dyDescent="0.3">
      <c r="D63" s="12">
        <v>62</v>
      </c>
      <c r="E63" s="1">
        <f t="shared" si="2"/>
        <v>6.7608297539197926</v>
      </c>
      <c r="F63" s="1">
        <f t="shared" si="5"/>
        <v>120.01638681380423</v>
      </c>
      <c r="G63" s="1">
        <f t="shared" si="6"/>
        <v>75.528454559877829</v>
      </c>
      <c r="H63" s="1">
        <f t="shared" si="3"/>
        <v>11.784253811712228</v>
      </c>
      <c r="M63" s="1" t="str">
        <f t="shared" si="4"/>
        <v/>
      </c>
    </row>
    <row r="64" spans="4:13" x14ac:dyDescent="0.3">
      <c r="D64" s="12">
        <v>63</v>
      </c>
      <c r="E64" s="1">
        <f t="shared" si="2"/>
        <v>7.2443596007498927</v>
      </c>
      <c r="F64" s="1">
        <f t="shared" si="5"/>
        <v>115.69391927976336</v>
      </c>
      <c r="G64" s="1">
        <f t="shared" si="6"/>
        <v>74.553152235697269</v>
      </c>
      <c r="H64" s="1">
        <f t="shared" si="3"/>
        <v>11.582370999218965</v>
      </c>
      <c r="M64" s="1" t="str">
        <f t="shared" si="4"/>
        <v/>
      </c>
    </row>
    <row r="65" spans="4:13" x14ac:dyDescent="0.3">
      <c r="D65" s="12">
        <v>64</v>
      </c>
      <c r="E65" s="1">
        <f t="shared" si="2"/>
        <v>7.7624711662869306</v>
      </c>
      <c r="F65" s="1">
        <f t="shared" si="5"/>
        <v>111.45447891505322</v>
      </c>
      <c r="G65" s="1">
        <f t="shared" si="6"/>
        <v>73.561814934615356</v>
      </c>
      <c r="H65" s="1">
        <f t="shared" si="3"/>
        <v>11.364697515538413</v>
      </c>
      <c r="M65" s="1" t="str">
        <f t="shared" si="4"/>
        <v/>
      </c>
    </row>
    <row r="66" spans="4:13" x14ac:dyDescent="0.3">
      <c r="D66" s="12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107.30053452893705</v>
      </c>
      <c r="G66" s="1">
        <f t="shared" ref="G66:G102" si="8">$B$7/(1+($B$4*$B$10/300)^(-3/2)*E66/2/2.509412225)^(1/3)</f>
        <v>72.555737439593017</v>
      </c>
      <c r="H66" s="1">
        <f t="shared" si="3"/>
        <v>11.132326242009064</v>
      </c>
      <c r="M66" s="1" t="str">
        <f t="shared" si="4"/>
        <v/>
      </c>
    </row>
    <row r="67" spans="4:13" x14ac:dyDescent="0.3">
      <c r="D67" s="12">
        <v>66</v>
      </c>
      <c r="E67" s="1">
        <f t="shared" ref="E67:E102" si="9">10^(LOG10($B$13)+(D67-1)*(LOG10($B$16)-LOG10($B$13))/100-19)</f>
        <v>8.9125093813374416</v>
      </c>
      <c r="F67" s="1">
        <f t="shared" si="7"/>
        <v>103.23445387297137</v>
      </c>
      <c r="G67" s="1">
        <f t="shared" si="8"/>
        <v>71.536260294263229</v>
      </c>
      <c r="H67" s="1">
        <f t="shared" ref="H67:H102" si="10">IF(AND(E67&lt;&gt;"",F67&lt;&gt;"",G67&lt;&gt;""),1.6021766341*E67*G67*F67^2*0.000001,"")</f>
        <v>10.886441816563377</v>
      </c>
      <c r="M67" s="1" t="str">
        <f t="shared" ref="M67:M101" si="11">IF(AND(J67&lt;&gt;"",K67&lt;&gt;"",L67&lt;&gt;""),1.6021766341*J67*L67*K67^2*0.000001,"")</f>
        <v/>
      </c>
    </row>
    <row r="68" spans="4:13" x14ac:dyDescent="0.3">
      <c r="D68" s="12">
        <v>67</v>
      </c>
      <c r="E68" s="1">
        <f t="shared" si="9"/>
        <v>9.5499258602143726</v>
      </c>
      <c r="F68" s="1">
        <f t="shared" si="7"/>
        <v>99.258486384739953</v>
      </c>
      <c r="G68" s="1">
        <f t="shared" si="8"/>
        <v>70.504760131172588</v>
      </c>
      <c r="H68" s="1">
        <f t="shared" si="10"/>
        <v>10.628307956666129</v>
      </c>
      <c r="M68" s="1" t="str">
        <f t="shared" si="11"/>
        <v/>
      </c>
    </row>
    <row r="69" spans="4:13" x14ac:dyDescent="0.3">
      <c r="D69" s="12">
        <v>68</v>
      </c>
      <c r="E69" s="1">
        <f t="shared" si="9"/>
        <v>10.232929922807497</v>
      </c>
      <c r="F69" s="1">
        <f t="shared" si="7"/>
        <v>95.374746073854922</v>
      </c>
      <c r="G69" s="1">
        <f t="shared" si="8"/>
        <v>69.462639865638124</v>
      </c>
      <c r="H69" s="1">
        <f t="shared" si="10"/>
        <v>10.359253658701684</v>
      </c>
      <c r="M69" s="1" t="str">
        <f t="shared" si="11"/>
        <v/>
      </c>
    </row>
    <row r="70" spans="4:13" x14ac:dyDescent="0.3">
      <c r="D70" s="12">
        <v>69</v>
      </c>
      <c r="E70" s="1">
        <f t="shared" si="9"/>
        <v>10.964781961431829</v>
      </c>
      <c r="F70" s="1">
        <f t="shared" si="7"/>
        <v>91.585194798941217</v>
      </c>
      <c r="G70" s="1">
        <f t="shared" si="8"/>
        <v>68.411318911898974</v>
      </c>
      <c r="H70" s="1">
        <f t="shared" si="10"/>
        <v>10.08065853620154</v>
      </c>
      <c r="M70" s="1" t="str">
        <f t="shared" si="11"/>
        <v/>
      </c>
    </row>
    <row r="71" spans="4:13" x14ac:dyDescent="0.3">
      <c r="D71" s="12">
        <v>70</v>
      </c>
      <c r="E71" s="1">
        <f t="shared" si="9"/>
        <v>11.748975549395306</v>
      </c>
      <c r="F71" s="1">
        <f t="shared" si="7"/>
        <v>87.891626194081638</v>
      </c>
      <c r="G71" s="1">
        <f t="shared" si="8"/>
        <v>67.352223570621916</v>
      </c>
      <c r="H71" s="1">
        <f t="shared" si="10"/>
        <v>9.7939375811352303</v>
      </c>
      <c r="M71" s="1" t="str">
        <f t="shared" si="11"/>
        <v/>
      </c>
    </row>
    <row r="72" spans="4:13" x14ac:dyDescent="0.3">
      <c r="D72" s="12">
        <v>71</v>
      </c>
      <c r="E72" s="1">
        <f t="shared" si="9"/>
        <v>12.589254117941719</v>
      </c>
      <c r="F72" s="1">
        <f t="shared" si="7"/>
        <v>84.295650506792455</v>
      </c>
      <c r="G72" s="1">
        <f t="shared" si="8"/>
        <v>66.28677772550293</v>
      </c>
      <c r="H72" s="1">
        <f t="shared" si="10"/>
        <v>9.5005256459807406</v>
      </c>
      <c r="M72" s="1" t="str">
        <f t="shared" si="11"/>
        <v/>
      </c>
    </row>
    <row r="73" spans="4:13" x14ac:dyDescent="0.3">
      <c r="D73" s="12">
        <v>72</v>
      </c>
      <c r="E73" s="1">
        <f t="shared" si="9"/>
        <v>13.48962882591651</v>
      </c>
      <c r="F73" s="1">
        <f t="shared" si="7"/>
        <v>80.79868060648505</v>
      </c>
      <c r="G73" s="1">
        <f t="shared" si="8"/>
        <v>65.216393972362098</v>
      </c>
      <c r="H73" s="1">
        <f t="shared" si="10"/>
        <v>9.2018619489123772</v>
      </c>
      <c r="M73" s="1" t="str">
        <f t="shared" si="11"/>
        <v/>
      </c>
    </row>
    <row r="74" spans="4:13" x14ac:dyDescent="0.3">
      <c r="D74" s="12">
        <v>73</v>
      </c>
      <c r="E74" s="1">
        <f t="shared" si="9"/>
        <v>14.454397707459282</v>
      </c>
      <c r="F74" s="1">
        <f t="shared" si="7"/>
        <v>77.401919412082648</v>
      </c>
      <c r="G74" s="1">
        <f t="shared" si="8"/>
        <v>64.142465287448815</v>
      </c>
      <c r="H74" s="1">
        <f t="shared" si="10"/>
        <v>8.8993749000154487</v>
      </c>
      <c r="M74" s="1" t="str">
        <f t="shared" si="11"/>
        <v/>
      </c>
    </row>
    <row r="75" spans="4:13" x14ac:dyDescent="0.3">
      <c r="D75" s="12">
        <v>74</v>
      </c>
      <c r="E75" s="1">
        <f t="shared" si="9"/>
        <v>15.488166189124865</v>
      </c>
      <c r="F75" s="1">
        <f t="shared" si="7"/>
        <v>74.106348969939901</v>
      </c>
      <c r="G75" s="1">
        <f t="shared" si="8"/>
        <v>63.066357323433863</v>
      </c>
      <c r="H75" s="1">
        <f t="shared" si="10"/>
        <v>8.5944675331605431</v>
      </c>
      <c r="M75" s="1" t="str">
        <f t="shared" si="11"/>
        <v/>
      </c>
    </row>
    <row r="76" spans="4:13" x14ac:dyDescent="0.3">
      <c r="D76" s="12">
        <v>75</v>
      </c>
      <c r="E76" s="1">
        <f t="shared" si="9"/>
        <v>16.595869074375567</v>
      </c>
      <c r="F76" s="1">
        <f t="shared" si="7"/>
        <v>70.912721388599437</v>
      </c>
      <c r="G76" s="1">
        <f t="shared" si="8"/>
        <v>61.989401402492582</v>
      </c>
      <c r="H76" s="1">
        <f t="shared" si="10"/>
        <v>8.288503806608011</v>
      </c>
      <c r="M76" s="1" t="str">
        <f t="shared" si="11"/>
        <v/>
      </c>
    </row>
    <row r="77" spans="4:13" x14ac:dyDescent="0.3">
      <c r="D77" s="12">
        <v>76</v>
      </c>
      <c r="E77" s="1">
        <f t="shared" si="9"/>
        <v>17.782794100389236</v>
      </c>
      <c r="F77" s="1">
        <f t="shared" si="7"/>
        <v>67.821551805776636</v>
      </c>
      <c r="G77" s="1">
        <f t="shared" si="8"/>
        <v>60.912888256704719</v>
      </c>
      <c r="H77" s="1">
        <f t="shared" si="10"/>
        <v>7.9827960064798669</v>
      </c>
      <c r="M77" s="1" t="str">
        <f t="shared" si="11"/>
        <v/>
      </c>
    </row>
    <row r="78" spans="4:13" x14ac:dyDescent="0.3">
      <c r="D78" s="12">
        <v>77</v>
      </c>
      <c r="E78" s="1">
        <f t="shared" si="9"/>
        <v>19.054607179632526</v>
      </c>
      <c r="F78" s="1">
        <f t="shared" si="7"/>
        <v>64.833113526072623</v>
      </c>
      <c r="G78" s="1">
        <f t="shared" si="8"/>
        <v>59.838062547332726</v>
      </c>
      <c r="H78" s="1">
        <f t="shared" si="10"/>
        <v>7.6785934521341641</v>
      </c>
      <c r="M78" s="1" t="str">
        <f t="shared" si="11"/>
        <v/>
      </c>
    </row>
    <row r="79" spans="4:13" x14ac:dyDescent="0.3">
      <c r="D79" s="12">
        <v>78</v>
      </c>
      <c r="E79" s="1">
        <f t="shared" si="9"/>
        <v>20.417379446695236</v>
      </c>
      <c r="F79" s="1">
        <f t="shared" si="7"/>
        <v>61.947435426380686</v>
      </c>
      <c r="G79" s="1">
        <f t="shared" si="8"/>
        <v>58.766118176930703</v>
      </c>
      <c r="H79" s="1">
        <f t="shared" si="10"/>
        <v>7.3770726626483301</v>
      </c>
      <c r="M79" s="1" t="str">
        <f t="shared" si="11"/>
        <v/>
      </c>
    </row>
    <row r="80" spans="4:13" x14ac:dyDescent="0.3">
      <c r="D80" s="12">
        <v>79</v>
      </c>
      <c r="E80" s="1">
        <f t="shared" si="9"/>
        <v>21.877616239495527</v>
      </c>
      <c r="F80" s="1">
        <f t="shared" si="7"/>
        <v>59.164301681140969</v>
      </c>
      <c r="G80" s="1">
        <f t="shared" si="8"/>
        <v>57.698194392126013</v>
      </c>
      <c r="H80" s="1">
        <f t="shared" si="10"/>
        <v>7.0793291006695984</v>
      </c>
      <c r="M80" s="1" t="str">
        <f t="shared" si="11"/>
        <v/>
      </c>
    </row>
    <row r="81" spans="4:13" x14ac:dyDescent="0.3">
      <c r="D81" s="12">
        <v>80</v>
      </c>
      <c r="E81" s="1">
        <f t="shared" si="9"/>
        <v>23.442288153199279</v>
      </c>
      <c r="F81" s="1">
        <f t="shared" si="7"/>
        <v>56.48325381298492</v>
      </c>
      <c r="G81" s="1">
        <f t="shared" si="8"/>
        <v>56.6353726606132</v>
      </c>
      <c r="H81" s="1">
        <f t="shared" si="10"/>
        <v>6.7863705655015574</v>
      </c>
      <c r="M81" s="1" t="str">
        <f t="shared" si="11"/>
        <v/>
      </c>
    </row>
    <row r="82" spans="4:13" x14ac:dyDescent="0.3">
      <c r="D82" s="12">
        <v>81</v>
      </c>
      <c r="E82" s="1">
        <f t="shared" si="9"/>
        <v>25.11886431509572</v>
      </c>
      <c r="F82" s="1">
        <f t="shared" si="7"/>
        <v>53.903595027498831</v>
      </c>
      <c r="G82" s="1">
        <f t="shared" si="8"/>
        <v>55.578674293615421</v>
      </c>
      <c r="H82" s="1">
        <f t="shared" si="10"/>
        <v>6.4991122631406171</v>
      </c>
      <c r="M82" s="1" t="str">
        <f t="shared" si="11"/>
        <v/>
      </c>
    </row>
    <row r="83" spans="4:13" x14ac:dyDescent="0.3">
      <c r="D83" s="12">
        <v>82</v>
      </c>
      <c r="E83" s="1">
        <f t="shared" si="9"/>
        <v>26.915348039269148</v>
      </c>
      <c r="F83" s="1">
        <f t="shared" si="7"/>
        <v>51.424396745461557</v>
      </c>
      <c r="G83" s="1">
        <f t="shared" si="8"/>
        <v>54.529058774916145</v>
      </c>
      <c r="H83" s="1">
        <f t="shared" si="10"/>
        <v>6.2183735386412451</v>
      </c>
      <c r="M83" s="1" t="str">
        <f t="shared" si="11"/>
        <v/>
      </c>
    </row>
    <row r="84" spans="4:13" x14ac:dyDescent="0.3">
      <c r="D84" s="12">
        <v>83</v>
      </c>
      <c r="E84" s="1">
        <f t="shared" si="9"/>
        <v>28.84031503126613</v>
      </c>
      <c r="F84" s="1">
        <f t="shared" si="7"/>
        <v>49.044507203480968</v>
      </c>
      <c r="G84" s="1">
        <f t="shared" si="8"/>
        <v>53.48742274954644</v>
      </c>
      <c r="H84" s="1">
        <f t="shared" si="10"/>
        <v>5.9448762170892007</v>
      </c>
      <c r="M84" s="1" t="str">
        <f t="shared" si="11"/>
        <v/>
      </c>
    </row>
    <row r="85" spans="4:13" x14ac:dyDescent="0.3">
      <c r="D85" s="12">
        <v>84</v>
      </c>
      <c r="E85" s="1">
        <f t="shared" si="9"/>
        <v>30.902954325136054</v>
      </c>
      <c r="F85" s="1">
        <f t="shared" si="7"/>
        <v>46.762561955853222</v>
      </c>
      <c r="G85" s="1">
        <f t="shared" si="8"/>
        <v>52.454599619264023</v>
      </c>
      <c r="H85" s="1">
        <f t="shared" si="10"/>
        <v>5.6792444647864508</v>
      </c>
      <c r="M85" s="1" t="str">
        <f t="shared" si="11"/>
        <v/>
      </c>
    </row>
    <row r="86" spans="4:13" x14ac:dyDescent="0.3">
      <c r="D86" s="12">
        <v>85</v>
      </c>
      <c r="E86" s="1">
        <f t="shared" si="9"/>
        <v>33.113112148259084</v>
      </c>
      <c r="F86" s="1">
        <f t="shared" si="7"/>
        <v>44.576996077887685</v>
      </c>
      <c r="G86" s="1">
        <f t="shared" si="8"/>
        <v>51.431359687962612</v>
      </c>
      <c r="H86" s="1">
        <f t="shared" si="10"/>
        <v>5.4220060529190848</v>
      </c>
      <c r="M86" s="1" t="str">
        <f t="shared" si="11"/>
        <v/>
      </c>
    </row>
    <row r="87" spans="4:13" x14ac:dyDescent="0.3">
      <c r="D87" s="12">
        <v>86</v>
      </c>
      <c r="E87" s="1">
        <f t="shared" si="9"/>
        <v>35.481338923357619</v>
      </c>
      <c r="F87" s="1">
        <f t="shared" si="7"/>
        <v>42.486057844729764</v>
      </c>
      <c r="G87" s="1">
        <f t="shared" si="8"/>
        <v>50.418410797913999</v>
      </c>
      <c r="H87" s="1">
        <f t="shared" si="10"/>
        <v>5.1735948826007494</v>
      </c>
      <c r="M87" s="1" t="str">
        <f t="shared" si="11"/>
        <v/>
      </c>
    </row>
    <row r="88" spans="4:13" x14ac:dyDescent="0.3">
      <c r="D88" s="12">
        <v>87</v>
      </c>
      <c r="E88" s="1">
        <f t="shared" si="9"/>
        <v>38.018939632055982</v>
      </c>
      <c r="F88" s="1">
        <f t="shared" si="7"/>
        <v>40.487823640493872</v>
      </c>
      <c r="G88" s="1">
        <f t="shared" si="8"/>
        <v>49.41639939707845</v>
      </c>
      <c r="H88" s="1">
        <f t="shared" si="10"/>
        <v>4.9343546130706946</v>
      </c>
      <c r="M88" s="1" t="str">
        <f t="shared" si="11"/>
        <v/>
      </c>
    </row>
    <row r="89" spans="4:13" x14ac:dyDescent="0.3">
      <c r="D89" s="12">
        <v>88</v>
      </c>
      <c r="E89" s="1">
        <f t="shared" si="9"/>
        <v>40.738027780411223</v>
      </c>
      <c r="F89" s="1">
        <f t="shared" si="7"/>
        <v>38.58021384052099</v>
      </c>
      <c r="G89" s="1">
        <f t="shared" si="8"/>
        <v>48.425911978384384</v>
      </c>
      <c r="H89" s="1">
        <f t="shared" si="10"/>
        <v>4.7045432239855218</v>
      </c>
      <c r="M89" s="1" t="str">
        <f t="shared" si="11"/>
        <v/>
      </c>
    </row>
    <row r="90" spans="4:13" x14ac:dyDescent="0.3">
      <c r="D90" s="12">
        <v>89</v>
      </c>
      <c r="E90" s="1">
        <f t="shared" si="9"/>
        <v>43.651583224016669</v>
      </c>
      <c r="F90" s="1">
        <f t="shared" si="7"/>
        <v>36.76100940479926</v>
      </c>
      <c r="G90" s="1">
        <f t="shared" si="8"/>
        <v>47.447476833667096</v>
      </c>
      <c r="H90" s="1">
        <f t="shared" si="10"/>
        <v>4.4843383379271948</v>
      </c>
      <c r="M90" s="1" t="str">
        <f t="shared" si="11"/>
        <v/>
      </c>
    </row>
    <row r="91" spans="4:13" x14ac:dyDescent="0.3">
      <c r="D91" s="12">
        <v>90</v>
      </c>
      <c r="E91" s="1">
        <f t="shared" si="9"/>
        <v>46.773514128720031</v>
      </c>
      <c r="F91" s="1">
        <f t="shared" si="7"/>
        <v>35.027868922646221</v>
      </c>
      <c r="G91" s="1">
        <f t="shared" si="8"/>
        <v>46.481566067619418</v>
      </c>
      <c r="H91" s="1">
        <f t="shared" si="10"/>
        <v>4.2738431299678865</v>
      </c>
      <c r="M91" s="1" t="str">
        <f t="shared" si="11"/>
        <v/>
      </c>
    </row>
    <row r="92" spans="4:13" x14ac:dyDescent="0.3">
      <c r="D92" s="12">
        <v>91</v>
      </c>
      <c r="E92" s="1">
        <f t="shared" si="9"/>
        <v>50.118723362727174</v>
      </c>
      <c r="F92" s="1">
        <f t="shared" si="7"/>
        <v>33.378345857122731</v>
      </c>
      <c r="G92" s="1">
        <f t="shared" si="8"/>
        <v>45.528597820459069</v>
      </c>
      <c r="H92" s="1">
        <f t="shared" si="10"/>
        <v>4.0730926567325012</v>
      </c>
      <c r="M92" s="1" t="str">
        <f t="shared" si="11"/>
        <v/>
      </c>
    </row>
    <row r="93" spans="4:13" x14ac:dyDescent="0.3">
      <c r="D93" s="12">
        <v>92</v>
      </c>
      <c r="E93" s="1">
        <f t="shared" si="9"/>
        <v>53.703179637025336</v>
      </c>
      <c r="F93" s="1">
        <f t="shared" si="7"/>
        <v>31.809905751513696</v>
      </c>
      <c r="G93" s="1">
        <f t="shared" si="8"/>
        <v>44.58893865184308</v>
      </c>
      <c r="H93" s="1">
        <f t="shared" si="10"/>
        <v>3.8820604470946183</v>
      </c>
      <c r="M93" s="1" t="str">
        <f t="shared" si="11"/>
        <v/>
      </c>
    </row>
    <row r="94" spans="4:13" x14ac:dyDescent="0.3">
      <c r="D94" s="12">
        <v>93</v>
      </c>
      <c r="E94" s="1">
        <f t="shared" si="9"/>
        <v>57.543993733715439</v>
      </c>
      <c r="F94" s="1">
        <f t="shared" si="7"/>
        <v>30.319943178683417</v>
      </c>
      <c r="G94" s="1">
        <f t="shared" si="8"/>
        <v>43.662906042701501</v>
      </c>
      <c r="H94" s="1">
        <f t="shared" si="10"/>
        <v>3.7006652095838062</v>
      </c>
      <c r="M94" s="1" t="str">
        <f t="shared" si="11"/>
        <v/>
      </c>
    </row>
    <row r="95" spans="4:13" x14ac:dyDescent="0.3">
      <c r="D95" s="12">
        <v>94</v>
      </c>
      <c r="E95" s="1">
        <f t="shared" si="9"/>
        <v>61.659500186148094</v>
      </c>
      <c r="F95" s="1">
        <f t="shared" si="7"/>
        <v>28.905798236166479</v>
      </c>
      <c r="G95" s="1">
        <f t="shared" si="8"/>
        <v>42.750770975955973</v>
      </c>
      <c r="H95" s="1">
        <f t="shared" si="10"/>
        <v>3.5287775268990162</v>
      </c>
      <c r="M95" s="1" t="str">
        <f t="shared" si="11"/>
        <v/>
      </c>
    </row>
    <row r="96" spans="4:13" x14ac:dyDescent="0.3">
      <c r="D96" s="12">
        <v>95</v>
      </c>
      <c r="E96" s="1">
        <f t="shared" si="9"/>
        <v>66.06934480075968</v>
      </c>
      <c r="F96" s="1">
        <f t="shared" si="7"/>
        <v>27.56477241449549</v>
      </c>
      <c r="G96" s="1">
        <f t="shared" si="8"/>
        <v>41.852760561426955</v>
      </c>
      <c r="H96" s="1">
        <f t="shared" si="10"/>
        <v>3.3662264247752858</v>
      </c>
      <c r="M96" s="1" t="str">
        <f t="shared" si="11"/>
        <v/>
      </c>
    </row>
    <row r="97" spans="4:13" x14ac:dyDescent="0.3">
      <c r="D97" s="12">
        <v>96</v>
      </c>
      <c r="E97" s="1">
        <f t="shared" si="9"/>
        <v>70.79457843841405</v>
      </c>
      <c r="F97" s="1">
        <f t="shared" si="7"/>
        <v>26.294143692449424</v>
      </c>
      <c r="G97" s="1">
        <f t="shared" si="8"/>
        <v>40.969060674489043</v>
      </c>
      <c r="H97" s="1">
        <f t="shared" si="10"/>
        <v>3.2128057200536038</v>
      </c>
      <c r="M97" s="1" t="str">
        <f t="shared" si="11"/>
        <v/>
      </c>
    </row>
    <row r="98" spans="4:13" x14ac:dyDescent="0.3">
      <c r="D98" s="12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25.091180739728546</v>
      </c>
      <c r="G98" s="1">
        <f t="shared" si="8"/>
        <v>40.099818582149297</v>
      </c>
      <c r="H98" s="1">
        <f t="shared" si="10"/>
        <v>3.0682800704702946</v>
      </c>
      <c r="M98" s="1" t="str">
        <f t="shared" si="11"/>
        <v/>
      </c>
    </row>
    <row r="99" spans="4:13" x14ac:dyDescent="0.3">
      <c r="D99" s="12">
        <v>98</v>
      </c>
      <c r="E99" s="1">
        <f t="shared" si="9"/>
        <v>81.283051616409963</v>
      </c>
      <c r="F99" s="1">
        <f t="shared" si="12"/>
        <v>23.953156134151232</v>
      </c>
      <c r="G99" s="1">
        <f t="shared" si="8"/>
        <v>39.245145534118286</v>
      </c>
      <c r="H99" s="1">
        <f t="shared" si="10"/>
        <v>2.9323906658250984</v>
      </c>
      <c r="M99" s="1" t="str">
        <f t="shared" si="11"/>
        <v/>
      </c>
    </row>
    <row r="100" spans="4:13" x14ac:dyDescent="0.3">
      <c r="D100" s="12">
        <v>99</v>
      </c>
      <c r="E100" s="1">
        <f t="shared" si="9"/>
        <v>87.096358995608384</v>
      </c>
      <c r="F100" s="1">
        <f t="shared" si="12"/>
        <v>22.877358526119249</v>
      </c>
      <c r="G100" s="1">
        <f t="shared" si="8"/>
        <v>38.405119300086213</v>
      </c>
      <c r="H100" s="1">
        <f t="shared" si="10"/>
        <v>2.8048605163402653</v>
      </c>
      <c r="M100" s="1" t="str">
        <f t="shared" si="11"/>
        <v/>
      </c>
    </row>
    <row r="101" spans="4:13" x14ac:dyDescent="0.3">
      <c r="D101" s="12">
        <v>100</v>
      </c>
      <c r="E101" s="1">
        <f t="shared" si="9"/>
        <v>93.325430079698918</v>
      </c>
      <c r="F101" s="1">
        <f t="shared" si="12"/>
        <v>21.861103707203842</v>
      </c>
      <c r="G101" s="1">
        <f t="shared" si="8"/>
        <v>37.579786637768315</v>
      </c>
      <c r="H101" s="1">
        <f t="shared" si="10"/>
        <v>2.685399308833416</v>
      </c>
      <c r="M101" s="1" t="str">
        <f t="shared" si="11"/>
        <v/>
      </c>
    </row>
    <row r="102" spans="4:13" x14ac:dyDescent="0.3">
      <c r="D102" s="12">
        <v>101</v>
      </c>
      <c r="E102" s="1">
        <f t="shared" si="9"/>
        <v>100</v>
      </c>
      <c r="F102" s="1">
        <f t="shared" si="12"/>
        <v>20.901744561827297</v>
      </c>
      <c r="G102" s="1">
        <f t="shared" si="8"/>
        <v>36.76916567933781</v>
      </c>
      <c r="H102" s="1">
        <f t="shared" si="10"/>
        <v>2.5737078145564674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workbookViewId="0">
      <selection activeCell="N6" sqref="N6"/>
    </sheetView>
  </sheetViews>
  <sheetFormatPr defaultRowHeight="14" x14ac:dyDescent="0.3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Welcome</vt:lpstr>
      <vt:lpstr>Calculation</vt:lpstr>
      <vt:lpstr>Lorentz number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2020-09-15T12:32:43Z</dcterms:created>
  <dcterms:modified xsi:type="dcterms:W3CDTF">2021-07-25T14:01:07Z</dcterms:modified>
</cp:coreProperties>
</file>